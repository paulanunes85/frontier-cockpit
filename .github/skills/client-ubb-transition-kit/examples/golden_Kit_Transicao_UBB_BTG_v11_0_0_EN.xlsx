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ow to Use" sheetId="2" state="visible" r:id="rId4"/>
    <sheet name="Dashboard" sheetId="3" state="visible" r:id="rId5"/>
    <sheet name="Client Intake" sheetId="4" state="visible" r:id="rId6"/>
    <sheet name="Engine" sheetId="5" state="visible" r:id="rId7"/>
    <sheet name="Consumption FY26" sheetId="6" state="visible" r:id="rId8"/>
    <sheet name="Model Mix" sheetId="7" state="visible" r:id="rId9"/>
    <sheet name="Simulator" sheetId="8" state="visible" r:id="rId10"/>
    <sheet name="Forecast FY27" sheetId="9" state="visible" r:id="rId11"/>
    <sheet name="ROI Scenarios" sheetId="10" state="visible" r:id="rId12"/>
    <sheet name="Action Plan R1-R7" sheetId="11" state="visible" r:id="rId13"/>
    <sheet name="90-Day Plan" sheetId="12" state="visible" r:id="rId14"/>
    <sheet name="Monthly Checkpoints" sheetId="13" state="visible" r:id="rId15"/>
    <sheet name="KPI Tracker" sheetId="14" state="visible" r:id="rId16"/>
    <sheet name="Governance" sheetId="15" state="visible" r:id="rId17"/>
    <sheet name="Maturity" sheetId="16" state="visible" r:id="rId18"/>
    <sheet name="Glossary" sheetId="17" state="visible" r:id="rId19"/>
    <sheet name="Source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<sst xmlns="http://schemas.openxmlformats.org/spreadsheetml/2006/main" count="684" uniqueCount="575">
  <si>
    <t xml:space="preserve">GitHub Copilot UBB Transition Kit</t>
  </si>
  <si>
    <t xml:space="preserve">Banco BTG Pactual S.A. | TPID 5336866 | Enterprise</t>
  </si>
  <si>
    <t xml:space="preserve">Dynamic budget engine, scenario forecasting, optimization program (R1-R7) and execution tracking for the Usage-Based Billing transition.</t>
  </si>
  <si>
    <t xml:space="preserve">Paula Silva, Software Global Black Belt</t>
  </si>
  <si>
    <t xml:space="preserve">paulasilva@microsoft.com</t>
  </si>
  <si>
    <t xml:space="preserve">Version 11.0.0 | 2026-06-12 | Confidential, internal account team use</t>
  </si>
  <si>
    <t xml:space="preserve">Companion documents (single source of truth set)</t>
  </si>
  <si>
    <t xml:space="preserve">Internal analysis HTML</t>
  </si>
  <si>
    <t xml:space="preserve">BTG_Pactual_Analise_Budget_v8 (PT-BR, EN, ES)</t>
  </si>
  <si>
    <t xml:space="preserve">Client-facing HTML</t>
  </si>
  <si>
    <t xml:space="preserve">BTG_Pactual_Analise_Budget_CLIENTE_v8 (PT-BR, EN, ES)</t>
  </si>
  <si>
    <t xml:space="preserve">Data backbone</t>
  </si>
  <si>
    <t xml:space="preserve">db.json v2.0.0, Brazil UBB collection (tpid 5336866)</t>
  </si>
  <si>
    <t xml:space="preserve">This workbook</t>
  </si>
  <si>
    <t xml:space="preserve">Engine, forecast, simulator, action plan and KPI tracking in English</t>
  </si>
  <si>
    <t xml:space="preserve">Workbook map</t>
  </si>
  <si>
    <t xml:space="preserve">Block</t>
  </si>
  <si>
    <t xml:space="preserve">Sheets</t>
  </si>
  <si>
    <t xml:space="preserve">What it does</t>
  </si>
  <si>
    <t xml:space="preserve">INPUT</t>
  </si>
  <si>
    <t xml:space="preserve">Client Intake</t>
  </si>
  <si>
    <t xml:space="preserve">everything yellow is editable; the entire kit recalculates</t>
  </si>
  <si>
    <t xml:space="preserve">ENGINE</t>
  </si>
  <si>
    <t xml:space="preserve">Engine | Consumption FY26 | Model Mix</t>
  </si>
  <si>
    <t xml:space="preserve">plan math, audited actuals from db.json, premium concentration</t>
  </si>
  <si>
    <t xml:space="preserve">BUSINESS CASE</t>
  </si>
  <si>
    <t xml:space="preserve">Dashboard | Forecast FY27 | Simulator | ROI Scenarios</t>
  </si>
  <si>
    <t xml:space="preserve">KPIs, September curve, what-if levers, A to D scenario ladder</t>
  </si>
  <si>
    <t xml:space="preserve">EXECUTION</t>
  </si>
  <si>
    <t xml:space="preserve">Action Plan R1-R7 | 90-Day Plan | Monthly Checkpoints | KPI Tracker</t>
  </si>
  <si>
    <t xml:space="preserve">actions with owner and status, weekly cadence, traffic lights</t>
  </si>
  <si>
    <t xml:space="preserve">GOVERNANCE</t>
  </si>
  <si>
    <t xml:space="preserve">Governance | Maturity | Glossary | Sources</t>
  </si>
  <si>
    <t xml:space="preserve">budgets and guardrails, maturity score, definitions, audit trail</t>
  </si>
  <si>
    <t xml:space="preserve">Paula Silva, Software Global Black Belt | paulasilva@microsoft.com | Microsoft</t>
  </si>
  <si>
    <t xml:space="preserve">GUIDE</t>
  </si>
  <si>
    <t xml:space="preserve">How to Use This Kit</t>
  </si>
  <si>
    <t xml:space="preserve">Five minutes to understand the flow. Conventions follow finance modeling standards.</t>
  </si>
  <si>
    <t xml:space="preserve">Step</t>
  </si>
  <si>
    <t xml:space="preserve">What</t>
  </si>
  <si>
    <t xml:space="preserve">How</t>
  </si>
  <si>
    <t xml:space="preserve">1</t>
  </si>
  <si>
    <t xml:space="preserve">Fill the Client Intake</t>
  </si>
  <si>
    <t xml:space="preserve">Yellow cells only. Client, plan, seats, report consumption, ACD band. Everything downstream recalculates automatically.</t>
  </si>
  <si>
    <t xml:space="preserve">2</t>
  </si>
  <si>
    <t xml:space="preserve">Read the Dashboard</t>
  </si>
  <si>
    <t xml:space="preserve">KPIs, the three scenarios, the September curve and the model mix. This is the page you present.</t>
  </si>
  <si>
    <t xml:space="preserve">3</t>
  </si>
  <si>
    <t xml:space="preserve">Pressure-test with the Simulator</t>
  </si>
  <si>
    <t xml:space="preserve">Move the R1-R7 reduction levers. Combined effect is multiplicative, never additive, so it cannot exceed 100%.</t>
  </si>
  <si>
    <t xml:space="preserve">4</t>
  </si>
  <si>
    <t xml:space="preserve">Commit to the plan</t>
  </si>
  <si>
    <t xml:space="preserve">Action Plan R1-R7, 90-Day Plan and Monthly Checkpoints carry owner, due date and status dropdowns.</t>
  </si>
  <si>
    <t xml:space="preserve">5</t>
  </si>
  <si>
    <t xml:space="preserve">Track weekly</t>
  </si>
  <si>
    <t xml:space="preserve">KPI Tracker: enter actuals, variance and traffic lights are automatic. Governance holds the budget guardrails.</t>
  </si>
  <si>
    <t xml:space="preserve">Color conventions</t>
  </si>
  <si>
    <t xml:space="preserve">Yellow fill</t>
  </si>
  <si>
    <t xml:space="preserve">editable input, safe to change</t>
  </si>
  <si>
    <t xml:space="preserve">Blue font</t>
  </si>
  <si>
    <t xml:space="preserve">hardcoded input value</t>
  </si>
  <si>
    <t xml:space="preserve">Black font</t>
  </si>
  <si>
    <t xml:space="preserve">formula, do not overwrite</t>
  </si>
  <si>
    <t xml:space="preserve">Green font</t>
  </si>
  <si>
    <t xml:space="preserve">link from another sheet</t>
  </si>
  <si>
    <t xml:space="preserve">EXECUTIVE DASHBOARD</t>
  </si>
  <si>
    <t xml:space="preserve">BTG Pactual, UBB Transition at a Glance</t>
  </si>
  <si>
    <t xml:space="preserve">Live view: every number recalculates from Client Intake, Engine, Simulator and the execution sheets.</t>
  </si>
  <si>
    <t xml:space="preserve">TODAY (PRU)</t>
  </si>
  <si>
    <t xml:space="preserve">NO ACTION (SEP+)</t>
  </si>
  <si>
    <t xml:space="preserve">WITH PROMO (JUN-AUG)</t>
  </si>
  <si>
    <t xml:space="preserve">SEPTEMBER JUMP</t>
  </si>
  <si>
    <t xml:space="preserve">MATURE SAVING / YR</t>
  </si>
  <si>
    <t xml:space="preserve">FY27 PROGRAM SAVINGS</t>
  </si>
  <si>
    <t xml:space="preserve">per month, audited Apr/26</t>
  </si>
  <si>
    <t xml:space="preserve">per month, +77% vs today</t>
  </si>
  <si>
    <t xml:space="preserve">per month, +5% vs today</t>
  </si>
  <si>
    <t xml:space="preserve">per month, the deadline</t>
  </si>
  <si>
    <t xml:space="preserve">R1-R7 at maturity</t>
  </si>
  <si>
    <t xml:space="preserve">maturity curve</t>
  </si>
  <si>
    <t xml:space="preserve">CONSUMPTION / INCLUDED</t>
  </si>
  <si>
    <t xml:space="preserve">POOL COVERAGE</t>
  </si>
  <si>
    <t xml:space="preserve">CLAUDE FAMILY SHARE</t>
  </si>
  <si>
    <t xml:space="preserve">TOP 2 MODELS SHARE</t>
  </si>
  <si>
    <t xml:space="preserve">ACTIONS DONE</t>
  </si>
  <si>
    <t xml:space="preserve">BLOCKED ITEMS</t>
  </si>
  <si>
    <t xml:space="preserve">pool covers </t>
  </si>
  <si>
    <t xml:space="preserve">of consumption</t>
  </si>
  <si>
    <t xml:space="preserve">of the token bill</t>
  </si>
  <si>
    <t xml:space="preserve">concentration</t>
  </si>
  <si>
    <t xml:space="preserve">action plan</t>
  </si>
  <si>
    <t xml:space="preserve">needs attention</t>
  </si>
  <si>
    <t xml:space="preserve">Yellow cells drive the entire kit. Audited values from the April 2026 GitHub billing report.</t>
  </si>
  <si>
    <t xml:space="preserve">Field</t>
  </si>
  <si>
    <t xml:space="preserve">Value</t>
  </si>
  <si>
    <t xml:space="preserve">Note</t>
  </si>
  <si>
    <t xml:space="preserve">Client name</t>
  </si>
  <si>
    <t xml:space="preserve">Banco BTG Pactual S.A.</t>
  </si>
  <si>
    <t xml:space="preserve">legal entity</t>
  </si>
  <si>
    <t xml:space="preserve">TPID</t>
  </si>
  <si>
    <t xml:space="preserve">Microsoft Top Parent ID</t>
  </si>
  <si>
    <t xml:space="preserve">Plan</t>
  </si>
  <si>
    <t xml:space="preserve">Enterprise</t>
  </si>
  <si>
    <t xml:space="preserve">defines included credits and seat price</t>
  </si>
  <si>
    <t xml:space="preserve">Business seats (CB)</t>
  </si>
  <si>
    <t xml:space="preserve">from billing report Apr/2026</t>
  </si>
  <si>
    <t xml:space="preserve">Enterprise seats (CE)</t>
  </si>
  <si>
    <t xml:space="preserve">Price per credit (USD)</t>
  </si>
  <si>
    <t xml:space="preserve">GitHub list price</t>
  </si>
  <si>
    <t xml:space="preserve">Monthly token consumption (USD)</t>
  </si>
  <si>
    <t xml:space="preserve">total token cost, Apr/2026 report; matches db.json model mix sum</t>
  </si>
  <si>
    <t xml:space="preserve">Current monthly PRU overage (USD)</t>
  </si>
  <si>
    <t xml:space="preserve">old model: spend above included PRU, Apr/2026</t>
  </si>
  <si>
    <t xml:space="preserve">Promo window (months covered)</t>
  </si>
  <si>
    <t xml:space="preserve">Jun-Aug 2026 promo; months of FY27 covered (Jul, Aug)</t>
  </si>
  <si>
    <t xml:space="preserve">Current ACD band (%)</t>
  </si>
  <si>
    <t xml:space="preserve">the Azure discount the new deal must beat</t>
  </si>
  <si>
    <t xml:space="preserve">Azure subscription available</t>
  </si>
  <si>
    <t xml:space="preserve">Yes</t>
  </si>
  <si>
    <t xml:space="preserve">required for the Deal Desk path</t>
  </si>
  <si>
    <t xml:space="preserve">Consumption growth, 10 months</t>
  </si>
  <si>
    <t xml:space="preserve">Jul/25 to Apr/26; see Consumption FY26 for the computed series</t>
  </si>
  <si>
    <t xml:space="preserve">Cost centers</t>
  </si>
  <si>
    <t xml:space="preserve">used by Governance budget split</t>
  </si>
  <si>
    <t xml:space="preserve">Budget Engine</t>
  </si>
  <si>
    <t xml:space="preserve">Plan table, pools, overage and the three scenarios. All formulas, zero hardcoded results.</t>
  </si>
  <si>
    <t xml:space="preserve">Plan table (GitHub Copilot list)</t>
  </si>
  <si>
    <t xml:space="preserve">Included std (credits/seat)</t>
  </si>
  <si>
    <t xml:space="preserve">Included promo (credits/seat)</t>
  </si>
  <si>
    <t xml:space="preserve">Price per seat (USD)</t>
  </si>
  <si>
    <t xml:space="preserve">Business</t>
  </si>
  <si>
    <t xml:space="preserve">Derived (do not edit)</t>
  </si>
  <si>
    <t xml:space="preserve">License cost (USD/month)</t>
  </si>
  <si>
    <t xml:space="preserve">Included pool, standard (USD/month)</t>
  </si>
  <si>
    <t xml:space="preserve">Included pool, promo (USD/month)</t>
  </si>
  <si>
    <t xml:space="preserve">Overage, standard (USD/month)</t>
  </si>
  <si>
    <t xml:space="preserve">Overage, promo (USD/month)</t>
  </si>
  <si>
    <t xml:space="preserve">Consumption / included ratio</t>
  </si>
  <si>
    <t xml:space="preserve">Pool coverage of consumption</t>
  </si>
  <si>
    <t xml:space="preserve">The three scenarios</t>
  </si>
  <si>
    <t xml:space="preserve">Scenario</t>
  </si>
  <si>
    <t xml:space="preserve">USD/month</t>
  </si>
  <si>
    <t xml:space="preserve">USD/year</t>
  </si>
  <si>
    <t xml:space="preserve">Delta vs today (USD/mo)</t>
  </si>
  <si>
    <t xml:space="preserve">Delta vs today (%)</t>
  </si>
  <si>
    <t xml:space="preserve">Today (PRU model)</t>
  </si>
  <si>
    <t xml:space="preserve">No action (Sep 2026 onward)</t>
  </si>
  <si>
    <t xml:space="preserve">With promo (Jun-Aug 2026)</t>
  </si>
  <si>
    <t xml:space="preserve">September jump (promo expiry)</t>
  </si>
  <si>
    <t xml:space="preserve">Annual exposure above today, no action</t>
  </si>
  <si>
    <t xml:space="preserve">DATA</t>
  </si>
  <si>
    <t xml:space="preserve">Consumption FY26, Audited Series</t>
  </si>
  <si>
    <t xml:space="preserve">Monthly actuals from db.json v2.0.0 (MSX FY26). Growth columns are formulas.</t>
  </si>
  <si>
    <t xml:space="preserve">Month</t>
  </si>
  <si>
    <t xml:space="preserve">GHCP seats</t>
  </si>
  <si>
    <t xml:space="preserve">GHCP ACR (USD)</t>
  </si>
  <si>
    <t xml:space="preserve">PRU (USD)</t>
  </si>
  <si>
    <t xml:space="preserve">PRU units</t>
  </si>
  <si>
    <t xml:space="preserve">GHE seats</t>
  </si>
  <si>
    <t xml:space="preserve">ACR MoM %</t>
  </si>
  <si>
    <t xml:space="preserve">ACR index (Jul=100)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</si>
  <si>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</si>
  <si>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</si>
  <si>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</si>
  <si>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</si>
  <si>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</si>
  <si>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</si>
  <si>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</si>
  <si>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</si>
  <si>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</si>
  <si>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</si>
  <si>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</si>
  <si>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Computed signals</t>
  </si>
  <si>
    <t xml:space="preserve">Growth over the series (GHCP ACR)</t>
  </si>
  <si>
    <t xml:space="preserve">Average MoM growth, last 4 months</t>
  </si>
  <si>
    <t xml:space="preserve">Seats added in the series</t>
  </si>
  <si>
    <t xml:space="preserve">PRU spend multiplied by</t>
  </si>
  <si>
    <t xml:space="preserve">Model Mix, April 2026</t>
  </si>
  <si>
    <t xml:space="preserve">Token cost by AI model from db.json (Model Level Details). Shares and concentration are formulas.</t>
  </si>
  <si>
    <t xml:space="preserve">Model</t>
  </si>
  <si>
    <t xml:space="preserve">Token cost (USD)</t>
  </si>
  <si>
    <t xml:space="preserve">Share of bill</t>
  </si>
  <si>
    <t xml:space="preserve">Unique users</t>
  </si>
  <si>
    <t xml:space="preserve">Input tokens (M)</t>
  </si>
  <si>
    <t xml:space="preserve">Output tokens (M)</t>
  </si>
  <si>
    <t xml:space="preserve">Cache read tokens (M)</t>
  </si>
  <si>
    <t xml:space="preserve">Cache read share</t>
  </si>
  <si>
    <t xml:space="preserve">Cache creation tokens (M)</t>
  </si>
  <si>
    <t xml:space="preserve">claude opus 4.6</t>
  </si>
  <si>
    <t xml:space="preserve">claude sonnet 4.6</t>
  </si>
  <si>
    <t xml:space="preserve">claude opus 4.7</t>
  </si>
  <si>
    <t xml:space="preserve">claude sonnet 4.5</t>
  </si>
  <si>
    <t xml:space="preserve">gpt 5.4</t>
  </si>
  <si>
    <t xml:space="preserve">gpt 5.3 codex</t>
  </si>
  <si>
    <t xml:space="preserve">claude opus 4.6 fast</t>
  </si>
  <si>
    <t xml:space="preserve">claude opus 4.5</t>
  </si>
  <si>
    <t xml:space="preserve">claude haiku 4.5</t>
  </si>
  <si>
    <t xml:space="preserve">gpt 4.1</t>
  </si>
  <si>
    <t xml:space="preserve">gpt 5.2</t>
  </si>
  <si>
    <t xml:space="preserve">code review model</t>
  </si>
  <si>
    <t xml:space="preserve">gpt 5.5</t>
  </si>
  <si>
    <t xml:space="preserve">claude sonnet 4</t>
  </si>
  <si>
    <t xml:space="preserve">gemini 3.1 pro</t>
  </si>
  <si>
    <t xml:space="preserve">gpt 4o mini</t>
  </si>
  <si>
    <t xml:space="preserve">gpt 5.2 codex</t>
  </si>
  <si>
    <t xml:space="preserve">gpt 5 mini</t>
  </si>
  <si>
    <t xml:space="preserve">gpt 4o</t>
  </si>
  <si>
    <t xml:space="preserve">gpt 5.4 mini</t>
  </si>
  <si>
    <t xml:space="preserve">gemini 3 flash</t>
  </si>
  <si>
    <t xml:space="preserve">gpt 5.1</t>
  </si>
  <si>
    <t xml:space="preserve">gemini 2.5 pro</t>
  </si>
  <si>
    <t xml:space="preserve">grok code fast 1</t>
  </si>
  <si>
    <t xml:space="preserve">gpt 5.1 codex</t>
  </si>
  <si>
    <t xml:space="preserve">gpt 5.1 codex max</t>
  </si>
  <si>
    <t xml:space="preserve">Total</t>
  </si>
  <si>
    <t xml:space="preserve">Claude family share</t>
  </si>
  <si>
    <t xml:space="preserve">Top 2 models share</t>
  </si>
  <si>
    <t xml:space="preserve">Why it matters</t>
  </si>
  <si>
    <t xml:space="preserve">Cache reads are 83.5% of all token volume. Stable prefixes and context curation (R4, R5) attack exactly this line.</t>
  </si>
  <si>
    <t xml:space="preserve">WHAT-IF</t>
  </si>
  <si>
    <t xml:space="preserve">Budget Simulator, R1-R7 Levers</t>
  </si>
  <si>
    <t xml:space="preserve">Editable reduction per lever. Combined effect is multiplicative: 1-(1-r1)x...x(1-r7). It can never exceed 100%.</t>
  </si>
  <si>
    <t xml:space="preserve">Lever</t>
  </si>
  <si>
    <t xml:space="preserve">Reduction (editable)</t>
  </si>
  <si>
    <t xml:space="preserve">Attacks</t>
  </si>
  <si>
    <t xml:space="preserve">Official band</t>
  </si>
  <si>
    <t xml:space="preserve">R1 Output control</t>
  </si>
  <si>
    <t xml:space="preserve">output</t>
  </si>
  <si>
    <t xml:space="preserve">40-70% of output</t>
  </si>
  <si>
    <t xml:space="preserve">output costs ~4-5x input; instruction blocks cut verbosity</t>
  </si>
  <si>
    <t xml:space="preserve">R2 Model routing</t>
  </si>
  <si>
    <t xml:space="preserve">whole bill</t>
  </si>
  <si>
    <t xml:space="preserve">40-70%</t>
  </si>
  <si>
    <t xml:space="preserve">price per token spans two orders of magnitude; route by task</t>
  </si>
  <si>
    <t xml:space="preserve">R3 Local models (BYOK)</t>
  </si>
  <si>
    <t xml:space="preserve">routine tasks</t>
  </si>
  <si>
    <t xml:space="preserve">single digit to ~15%</t>
  </si>
  <si>
    <t xml:space="preserve">BYOK local models do not consume credits; not for completions</t>
  </si>
  <si>
    <t xml:space="preserve">R4 Context scoping</t>
  </si>
  <si>
    <t xml:space="preserve">input</t>
  </si>
  <si>
    <t xml:space="preserve">40-80% of input</t>
  </si>
  <si>
    <t xml:space="preserve">context is often 60%+ of input per turn</t>
  </si>
  <si>
    <t xml:space="preserve">R5 Cache and memory</t>
  </si>
  <si>
    <t xml:space="preserve">30-50% of input</t>
  </si>
  <si>
    <t xml:space="preserve">stable prefixes are not reprocessed; cache reads are cheaper</t>
  </si>
  <si>
    <t xml:space="preserve">R6 Repository primitives</t>
  </si>
  <si>
    <t xml:space="preserve">input and bill</t>
  </si>
  <si>
    <t xml:space="preserve">compound</t>
  </si>
  <si>
    <t xml:space="preserve">versioned instructions, agents and prompts</t>
  </si>
  <si>
    <t xml:space="preserve">R7 Budgets and measurement</t>
  </si>
  <si>
    <t xml:space="preserve">variance</t>
  </si>
  <si>
    <t xml:space="preserve">guardrail</t>
  </si>
  <si>
    <t xml:space="preserve">does not cut the run rate; prevents runaway loops</t>
  </si>
  <si>
    <t xml:space="preserve">Simulated result</t>
  </si>
  <si>
    <t xml:space="preserve">Combined consumption reduction</t>
  </si>
  <si>
    <t xml:space="preserve">Mature overage with program (USD/month)</t>
  </si>
  <si>
    <t xml:space="preserve">Mature monthly saving (USD)</t>
  </si>
  <si>
    <t xml:space="preserve">Mature run-rate saving (USD/year)</t>
  </si>
  <si>
    <t xml:space="preserve">Overage drop at maturity</t>
  </si>
  <si>
    <t xml:space="preserve">FY27 program savings (maturity curve)</t>
  </si>
  <si>
    <t xml:space="preserve">Reference bands: a lean start delivers 20-30% reduction; a mature program 55-70%. Defaults above are lean. Sources sheet holds the references.</t>
  </si>
  <si>
    <t xml:space="preserve">Forecast FY27, The September Curve</t>
  </si>
  <si>
    <t xml:space="preserve">Promo covers Jul-Aug. Ramp (yellow) is the program maturation; everything else is formula.</t>
  </si>
  <si>
    <t xml:space="preserve">Ramp</t>
  </si>
  <si>
    <t xml:space="preserve">No-action overage (USD)</t>
  </si>
  <si>
    <t xml:space="preserve">With-program overage (USD)</t>
  </si>
  <si>
    <t xml:space="preserve">Monthly saving (USD)</t>
  </si>
  <si>
    <t xml:space="preserve">Cumulative saving (USD)</t>
  </si>
  <si>
    <t xml:space="preserve">Scenario cost no action (USD)</t>
  </si>
  <si>
    <t xml:space="preserve">Scenario cost with program (USD)</t>
  </si>
  <si>
    <t xml:space="preserve">FY27 (Microsoft fiscal year)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</si>
  <si>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</si>
  <si>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</si>
  <si>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</si>
  <si>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</si>
  <si>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</si>
  <si>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</si>
  <si>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</si>
  <si>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</si>
  <si>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</si>
  <si>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</si>
  <si>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</si>
  <si>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</si>
  <si>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Total FY27</t>
  </si>
  <si>
    <t xml:space="preserve">Reading</t>
  </si>
  <si>
    <t xml:space="preserve">No-action plateau lands in September. The with-program line bends as R1-R7 mature. Savings accumulate without costing Microsoft a dollar.</t>
  </si>
  <si>
    <t xml:space="preserve">ROI, The Four FY27 Scenarios</t>
  </si>
  <si>
    <t xml:space="preserve">The savings ladder. P3 percentages are editable; everything else recalculates.</t>
  </si>
  <si>
    <t xml:space="preserve">P3 discount inputs</t>
  </si>
  <si>
    <t xml:space="preserve">P3 published discount</t>
  </si>
  <si>
    <t xml:space="preserve">public table, does not beat the ACD</t>
  </si>
  <si>
    <t xml:space="preserve">P3 via Deal Desk</t>
  </si>
  <si>
    <t xml:space="preserve">subject to eligibility and approval</t>
  </si>
  <si>
    <t xml:space="preserve">FY27 total cost (USD)</t>
  </si>
  <si>
    <t xml:space="preserve">Savings vs A (USD)</t>
  </si>
  <si>
    <t xml:space="preserve">What it is</t>
  </si>
  <si>
    <t xml:space="preserve">A No discount, no action</t>
  </si>
  <si>
    <t xml:space="preserve">baseline, full overage, no program</t>
  </si>
  <si>
    <t xml:space="preserve">B Promo + P3 15%</t>
  </si>
  <si>
    <t xml:space="preserve">published discount on token overage</t>
  </si>
  <si>
    <t xml:space="preserve">C Promo + P3 20% (Deal Desk)</t>
  </si>
  <si>
    <t xml:space="preserve">beats the ACD; needs approval</t>
  </si>
  <si>
    <t xml:space="preserve">D P3 20% + optimization program</t>
  </si>
  <si>
    <t xml:space="preserve">recommended path: discount on the reduced overage plus R1-R7 savings</t>
  </si>
  <si>
    <t xml:space="preserve">Savings decomposition, scenario D</t>
  </si>
  <si>
    <t xml:space="preserve">Commercial discount component</t>
  </si>
  <si>
    <t xml:space="preserve">the P3 cut on the optimized overage</t>
  </si>
  <si>
    <t xml:space="preserve">Efficiency redemption component</t>
  </si>
  <si>
    <t xml:space="preserve">R1-R7 savings; costs Microsoft nothing</t>
  </si>
  <si>
    <t xml:space="preserve">Total scenario D savings</t>
  </si>
  <si>
    <t xml:space="preserve">redemption is worth more than the discount</t>
  </si>
  <si>
    <t xml:space="preserve">Action Plan, R1-R7</t>
  </si>
  <si>
    <t xml:space="preserve">Owner, due date and status per action. The Dashboard counts these statuses live.</t>
  </si>
  <si>
    <t xml:space="preserve">ID</t>
  </si>
  <si>
    <t xml:space="preserve">Action</t>
  </si>
  <si>
    <t xml:space="preserve">Owner</t>
  </si>
  <si>
    <t xml:space="preserve">Due</t>
  </si>
  <si>
    <t xml:space="preserve">Effort</t>
  </si>
  <si>
    <t xml:space="preserve">Expected impact</t>
  </si>
  <si>
    <t xml:space="preserve">Status</t>
  </si>
  <si>
    <t xml:space="preserve">Notes</t>
  </si>
  <si>
    <t xml:space="preserve">A01</t>
  </si>
  <si>
    <t xml:space="preserve">R7 Budgets</t>
  </si>
  <si>
    <t xml:space="preserve">Enable budgets and alerts per org and cost center (alert 80%, block 100%)</t>
  </si>
  <si>
    <t xml:space="preserve">Client platform team</t>
  </si>
  <si>
    <t xml:space="preserve">2026-07-15</t>
  </si>
  <si>
    <t xml:space="preserve">Low</t>
  </si>
  <si>
    <t xml:space="preserve">variance guardrail</t>
  </si>
  <si>
    <t xml:space="preserve">In progress</t>
  </si>
  <si>
    <t xml:space="preserve">A02</t>
  </si>
  <si>
    <t xml:space="preserve">R2 Routing</t>
  </si>
  <si>
    <t xml:space="preserve">Publish model allowlist and task-to-model policy (light-first)</t>
  </si>
  <si>
    <t xml:space="preserve">GBB + client arch</t>
  </si>
  <si>
    <t xml:space="preserve">2026-07-31</t>
  </si>
  <si>
    <t xml:space="preserve">Medium</t>
  </si>
  <si>
    <t xml:space="preserve">frontier share down</t>
  </si>
  <si>
    <t xml:space="preserve">Not started</t>
  </si>
  <si>
    <t xml:space="preserve">A03</t>
  </si>
  <si>
    <t xml:space="preserve">R1 Output</t>
  </si>
  <si>
    <t xml:space="preserve">Roll out instruction blocks limiting output verbosity in top repos</t>
  </si>
  <si>
    <t xml:space="preserve">Client dev leads</t>
  </si>
  <si>
    <t xml:space="preserve">2026-08-15</t>
  </si>
  <si>
    <t xml:space="preserve">output tokens down</t>
  </si>
  <si>
    <t xml:space="preserve">A04</t>
  </si>
  <si>
    <t xml:space="preserve">R4 Context</t>
  </si>
  <si>
    <t xml:space="preserve">Scope context: #-mentions discipline, trim attachments, kill mega-threads</t>
  </si>
  <si>
    <t xml:space="preserve">input tokens down</t>
  </si>
  <si>
    <t xml:space="preserve">A05</t>
  </si>
  <si>
    <t xml:space="preserve">R5 Cache</t>
  </si>
  <si>
    <t xml:space="preserve">Stabilize system prompts and shared prefixes to raise cache hits</t>
  </si>
  <si>
    <t xml:space="preserve">2026-08-31</t>
  </si>
  <si>
    <t xml:space="preserve">cache read share up</t>
  </si>
  <si>
    <t xml:space="preserve">A06</t>
  </si>
  <si>
    <t xml:space="preserve">R6 Primitives</t>
  </si>
  <si>
    <t xml:space="preserve">Version prompts, instructions and agent definitions in the repo</t>
  </si>
  <si>
    <t xml:space="preserve">2026-09-15</t>
  </si>
  <si>
    <t xml:space="preserve">compound savings</t>
  </si>
  <si>
    <t xml:space="preserve">A07</t>
  </si>
  <si>
    <t xml:space="preserve">R3 BYOK</t>
  </si>
  <si>
    <t xml:space="preserve">Pilot local models for routine, non-completion tasks</t>
  </si>
  <si>
    <t xml:space="preserve">Client arch</t>
  </si>
  <si>
    <t xml:space="preserve">2026-09-30</t>
  </si>
  <si>
    <t xml:space="preserve">High</t>
  </si>
  <si>
    <t xml:space="preserve">routine offload</t>
  </si>
  <si>
    <t xml:space="preserve">A08</t>
  </si>
  <si>
    <t xml:space="preserve">Commercial</t>
  </si>
  <si>
    <t xml:space="preserve">Size the P3 and open the Deal Desk case before promo expiry</t>
  </si>
  <si>
    <t xml:space="preserve">MSFT account team</t>
  </si>
  <si>
    <t xml:space="preserve">beats the ACD</t>
  </si>
  <si>
    <t xml:space="preserve">A09</t>
  </si>
  <si>
    <t xml:space="preserve">Governance</t>
  </si>
  <si>
    <t xml:space="preserve">Stand up the FinOps dashboard and weekly mix review</t>
  </si>
  <si>
    <t xml:space="preserve">Client FinOps</t>
  </si>
  <si>
    <t xml:space="preserve">2026-08-01</t>
  </si>
  <si>
    <t xml:space="preserve">visibility</t>
  </si>
  <si>
    <t xml:space="preserve">A10</t>
  </si>
  <si>
    <t xml:space="preserve">Checkpoint</t>
  </si>
  <si>
    <t xml:space="preserve">September review package: real overage vs forecast, milestones</t>
  </si>
  <si>
    <t xml:space="preserve">GBB</t>
  </si>
  <si>
    <t xml:space="preserve">2026-09-01</t>
  </si>
  <si>
    <t xml:space="preserve">decision gate</t>
  </si>
  <si>
    <t xml:space="preserve">90-Day Plan, Weekly Cadence</t>
  </si>
  <si>
    <t xml:space="preserve">Twelve weeks aligned to the transition. Status dropdowns feed the Dashboard.</t>
  </si>
  <si>
    <t xml:space="preserve">Week</t>
  </si>
  <si>
    <t xml:space="preserve">Phase</t>
  </si>
  <si>
    <t xml:space="preserve">KPI / focus</t>
  </si>
  <si>
    <t xml:space="preserve">Main action</t>
  </si>
  <si>
    <t xml:space="preserve">Target</t>
  </si>
  <si>
    <t xml:space="preserve">W1</t>
  </si>
  <si>
    <t xml:space="preserve">Baseline</t>
  </si>
  <si>
    <t xml:space="preserve">Usage projection done</t>
  </si>
  <si>
    <t xml:space="preserve">Ingest consumption, read the curve</t>
  </si>
  <si>
    <t xml:space="preserve">projection complete</t>
  </si>
  <si>
    <t xml:space="preserve">W2</t>
  </si>
  <si>
    <t xml:space="preserve">Model allowlist defined</t>
  </si>
  <si>
    <t xml:space="preserve">Publish task-to-model policy</t>
  </si>
  <si>
    <t xml:space="preserve">allowlist live</t>
  </si>
  <si>
    <t xml:space="preserve">W3</t>
  </si>
  <si>
    <t xml:space="preserve">Team enabled on the change</t>
  </si>
  <si>
    <t xml:space="preserve">Enablement session, pick pilot squad</t>
  </si>
  <si>
    <t xml:space="preserve">pilot defined</t>
  </si>
  <si>
    <t xml:space="preserve">W4</t>
  </si>
  <si>
    <t xml:space="preserve">Per-user budget set</t>
  </si>
  <si>
    <t xml:space="preserve">Configure user caps in the pilot</t>
  </si>
  <si>
    <t xml:space="preserve">budget live in pilot</t>
  </si>
  <si>
    <t xml:space="preserve">W5</t>
  </si>
  <si>
    <t xml:space="preserve">Instrument</t>
  </si>
  <si>
    <t xml:space="preserve">Caching on long prompts</t>
  </si>
  <si>
    <t xml:space="preserve">Enable caching, mark system prompts</t>
  </si>
  <si>
    <t xml:space="preserve">caching in production</t>
  </si>
  <si>
    <t xml:space="preserve">W6</t>
  </si>
  <si>
    <t xml:space="preserve">FinOps dashboard live</t>
  </si>
  <si>
    <t xml:space="preserve">Stand up billing overview and alerts</t>
  </si>
  <si>
    <t xml:space="preserve">dashboard active</t>
  </si>
  <si>
    <t xml:space="preserve">W7</t>
  </si>
  <si>
    <t xml:space="preserve">Model mix under review</t>
  </si>
  <si>
    <t xml:space="preserve">Weekly mix review; contain frontier</t>
  </si>
  <si>
    <t xml:space="preserve">frontier share falling</t>
  </si>
  <si>
    <t xml:space="preserve">W8</t>
  </si>
  <si>
    <t xml:space="preserve">Budgets refined</t>
  </si>
  <si>
    <t xml:space="preserve">Recalibrate with 30 days of real data</t>
  </si>
  <si>
    <t xml:space="preserve">budgets calibrated</t>
  </si>
  <si>
    <t xml:space="preserve">W9</t>
  </si>
  <si>
    <t xml:space="preserve">Optimize</t>
  </si>
  <si>
    <t xml:space="preserve">Primitives published</t>
  </si>
  <si>
    <t xml:space="preserve">Standardize prompts in the repo</t>
  </si>
  <si>
    <t xml:space="preserve">primitives in use</t>
  </si>
  <si>
    <t xml:space="preserve">W10</t>
  </si>
  <si>
    <t xml:space="preserve">Agents scoped and capped</t>
  </si>
  <si>
    <t xml:space="preserve">Configure scope, tools and limits</t>
  </si>
  <si>
    <t xml:space="preserve">agents governed</t>
  </si>
  <si>
    <t xml:space="preserve">W11</t>
  </si>
  <si>
    <t xml:space="preserve">Redemption curve visible</t>
  </si>
  <si>
    <t xml:space="preserve">Compare real vs forecast overage</t>
  </si>
  <si>
    <t xml:space="preserve">redemption on track</t>
  </si>
  <si>
    <t xml:space="preserve">W12</t>
  </si>
  <si>
    <t xml:space="preserve">Scale</t>
  </si>
  <si>
    <t xml:space="preserve">September review ready</t>
  </si>
  <si>
    <t xml:space="preserve">Consolidate milestones for checkpoint</t>
  </si>
  <si>
    <t xml:space="preserve">review package ready</t>
  </si>
  <si>
    <t xml:space="preserve">Monthly Checkpoints</t>
  </si>
  <si>
    <t xml:space="preserve">Six months. September is the lock: promo expires, real overage shows up.</t>
  </si>
  <si>
    <t xml:space="preserve">Primary indicator</t>
  </si>
  <si>
    <t xml:space="preserve">Promo active, baseline measured</t>
  </si>
  <si>
    <t xml:space="preserve">overage covered by promo</t>
  </si>
  <si>
    <t xml:space="preserve">clear baseline</t>
  </si>
  <si>
    <t xml:space="preserve">Instrumentation live</t>
  </si>
  <si>
    <t xml:space="preserve">caching and dashboard active</t>
  </si>
  <si>
    <t xml:space="preserve">foundation ready</t>
  </si>
  <si>
    <t xml:space="preserve">REVIEW, promo expires</t>
  </si>
  <si>
    <t xml:space="preserve">real overage appears; milestones met?</t>
  </si>
  <si>
    <t xml:space="preserve">extension decided</t>
  </si>
  <si>
    <t xml:space="preserve">Redemption maturing</t>
  </si>
  <si>
    <t xml:space="preserve">overage falling vs plateau</t>
  </si>
  <si>
    <t xml:space="preserve">descending trajectory</t>
  </si>
  <si>
    <t xml:space="preserve">Continuous optimization</t>
  </si>
  <si>
    <t xml:space="preserve">model mix under control</t>
  </si>
  <si>
    <t xml:space="preserve">frontier share lower</t>
  </si>
  <si>
    <t xml:space="preserve">Halfway point</t>
  </si>
  <si>
    <t xml:space="preserve">redemption ~60% mature</t>
  </si>
  <si>
    <t xml:space="preserve">savings accumulating</t>
  </si>
  <si>
    <t xml:space="preserve">KPI Tracker, Enter Actuals Weekly</t>
  </si>
  <si>
    <t xml:space="preserve">Yellow cells take real data. Variance and traffic lights are automatic.</t>
  </si>
  <si>
    <t xml:space="preserve">KPI</t>
  </si>
  <si>
    <t xml:space="preserve">Unit</t>
  </si>
  <si>
    <t xml:space="preserve">Latest</t>
  </si>
  <si>
    <t xml:space="preserve">Variance vs target</t>
  </si>
  <si>
    <t xml:space="preserve">Monthly overage run-rate</t>
  </si>
  <si>
    <t xml:space="preserve">Frontier model share of bill</t>
  </si>
  <si>
    <t xml:space="preserve">%</t>
  </si>
  <si>
    <t xml:space="preserve">Cache read share of tokens</t>
  </si>
  <si>
    <t xml:space="preserve">Seats over per-user budget</t>
  </si>
  <si>
    <t xml:space="preserve">count</t>
  </si>
  <si>
    <t xml:space="preserve">Weekly active users (WAU)</t>
  </si>
  <si>
    <t xml:space="preserve">Actions done (Action Plan)</t>
  </si>
  <si>
    <t xml:space="preserve">Note: for the overage and frontier KPIs, below target is good. Read the variance sign accordingly.</t>
  </si>
  <si>
    <t xml:space="preserve">Budgets and Guardrails</t>
  </si>
  <si>
    <t xml:space="preserve">Caps computed from the engine. Rule of thumb: alert at 80%, block at 100%.</t>
  </si>
  <si>
    <t xml:space="preserve">Mature target overage (USD/month)</t>
  </si>
  <si>
    <t xml:space="preserve">Licensed seats</t>
  </si>
  <si>
    <t xml:space="preserve">Cap per user (USD/month)</t>
  </si>
  <si>
    <t xml:space="preserve">Cap per cost center (USD/month)</t>
  </si>
  <si>
    <t xml:space="preserve">Alert margin</t>
  </si>
  <si>
    <t xml:space="preserve">Per-user alert trigger (USD)</t>
  </si>
  <si>
    <t xml:space="preserve">Per-cost-center alert trigger (USD)</t>
  </si>
  <si>
    <t xml:space="preserve">Three-layer metrics model</t>
  </si>
  <si>
    <t xml:space="preserve">Layer</t>
  </si>
  <si>
    <t xml:space="preserve">The question it answers</t>
  </si>
  <si>
    <t xml:space="preserve">Primary owner</t>
  </si>
  <si>
    <t xml:space="preserve">1 Cost and governance</t>
  </si>
  <si>
    <t xml:space="preserve">Is the financial impact under control? Overage trajectory, mix, budgets</t>
  </si>
  <si>
    <t xml:space="preserve">GBB + client data</t>
  </si>
  <si>
    <t xml:space="preserve">2 Platform and architecture</t>
  </si>
  <si>
    <t xml:space="preserve">Is the foundation being built? Primitives, caching, agents governed</t>
  </si>
  <si>
    <t xml:space="preserve">Partners + GBB</t>
  </si>
  <si>
    <t xml:space="preserve">3 Organizational outcome</t>
  </si>
  <si>
    <t xml:space="preserve">Did real value show up? Faster, safer delivery at the org level</t>
  </si>
  <si>
    <t xml:space="preserve">All three sides</t>
  </si>
  <si>
    <t xml:space="preserve">Trap to avoid: the AI productivity paradox. Individual output rises while org throughput stalls. Measure layer 3, not anecdotes.</t>
  </si>
  <si>
    <t xml:space="preserve">DIAGNOSTIC</t>
  </si>
  <si>
    <t xml:space="preserve">Maturity Assessment</t>
  </si>
  <si>
    <t xml:space="preserve">Score each dimension 1-5. Stage and color are automatic.</t>
  </si>
  <si>
    <t xml:space="preserve">Dimension</t>
  </si>
  <si>
    <t xml:space="preserve">Score (1-5)</t>
  </si>
  <si>
    <t xml:space="preserve">What to assess</t>
  </si>
  <si>
    <t xml:space="preserve">Model policy and routing</t>
  </si>
  <si>
    <t xml:space="preserve">governance over which model per task</t>
  </si>
  <si>
    <t xml:space="preserve">Context curation and cache</t>
  </si>
  <si>
    <t xml:space="preserve">lean context discipline and caching</t>
  </si>
  <si>
    <t xml:space="preserve">Repository primitives</t>
  </si>
  <si>
    <t xml:space="preserve">standardized, versioned prompts and instructions</t>
  </si>
  <si>
    <t xml:space="preserve">Agent architecture</t>
  </si>
  <si>
    <t xml:space="preserve">agents with scope, tools and caps</t>
  </si>
  <si>
    <t xml:space="preserve">FinOps and observability</t>
  </si>
  <si>
    <t xml:space="preserve">cost dashboards, alerts and budgets live</t>
  </si>
  <si>
    <t xml:space="preserve">Total score</t>
  </si>
  <si>
    <t xml:space="preserve">Stage</t>
  </si>
  <si>
    <t xml:space="preserve">REFERENCE</t>
  </si>
  <si>
    <t xml:space="preserve">Glossary</t>
  </si>
  <si>
    <t xml:space="preserve">The terms that show up in the conversation, in plain language.</t>
  </si>
  <si>
    <t xml:space="preserve">Term</t>
  </si>
  <si>
    <t xml:space="preserve">Definition</t>
  </si>
  <si>
    <t xml:space="preserve">UBB</t>
  </si>
  <si>
    <t xml:space="preserve">Usage-Based Billing: AI consumption above the included pool is metered and billed</t>
  </si>
  <si>
    <t xml:space="preserve">Credit</t>
  </si>
  <si>
    <t xml:space="preserve">the billing unit; 1 credit = USD 0.01 at list</t>
  </si>
  <si>
    <t xml:space="preserve">Included pool</t>
  </si>
  <si>
    <t xml:space="preserve">credits bundled per seat, pooled at the org level (Business 1,900; Enterprise 3,900 per seat per month)</t>
  </si>
  <si>
    <t xml:space="preserve">Promo pool</t>
  </si>
  <si>
    <t xml:space="preserve">the 90-day promotion: Business 3,000 and Enterprise 7,000 credits per seat, Jun-Aug 2026</t>
  </si>
  <si>
    <t xml:space="preserve">Overage</t>
  </si>
  <si>
    <t xml:space="preserve">consumption above the pool, billed at price per credit</t>
  </si>
  <si>
    <t xml:space="preserve">Pooling</t>
  </si>
  <si>
    <t xml:space="preserve">heavy and light users share the same org pool; no credits expire individually</t>
  </si>
  <si>
    <t xml:space="preserve">PRU</t>
  </si>
  <si>
    <t xml:space="preserve">Premium Request Units, the old metering model with an opaque cap</t>
  </si>
  <si>
    <t xml:space="preserve">P3</t>
  </si>
  <si>
    <t xml:space="preserve">Pre-Purchase Plan: committed credit purchase with discount band</t>
  </si>
  <si>
    <t xml:space="preserve">ACD</t>
  </si>
  <si>
    <t xml:space="preserve">Azure Commitment Discount: the discount level a P3 must beat to be worth it</t>
  </si>
  <si>
    <t xml:space="preserve">Deal Desk</t>
  </si>
  <si>
    <t xml:space="preserve">the approval path for above-published P3 discounts</t>
  </si>
  <si>
    <t xml:space="preserve">R1-R7</t>
  </si>
  <si>
    <t xml:space="preserve">the seven technical optimization levers detailed in the runbook and in this kit</t>
  </si>
  <si>
    <t xml:space="preserve">program maturation factor in the FY27 forecast, 0 to 100%</t>
  </si>
  <si>
    <t xml:space="preserve">Cache read</t>
  </si>
  <si>
    <t xml:space="preserve">tokens reread from a stable prefix, far cheaper than fresh input</t>
  </si>
  <si>
    <t xml:space="preserve">Frontier model</t>
  </si>
  <si>
    <t xml:space="preserve">top-end model class; the most expensive tokens on the bill</t>
  </si>
  <si>
    <t xml:space="preserve">Sources and Assumptions</t>
  </si>
  <si>
    <t xml:space="preserve">Where every number comes from, and what is editable.</t>
  </si>
  <si>
    <t xml:space="preserve">Item</t>
  </si>
  <si>
    <t xml:space="preserve">Origin / note</t>
  </si>
  <si>
    <t xml:space="preserve">BTG billing data</t>
  </si>
  <si>
    <t xml:space="preserve">GitHub Token Based Billing report, fiscal month April 2026 (official). Consumption USD 231,704; promo scenario USD 137,624.</t>
  </si>
  <si>
    <t xml:space="preserve">db.json v2.0.0</t>
  </si>
  <si>
    <t xml:space="preserve">Brazil UBB consolidated collection. BTG row: today 130,948; no action 231,704; promo 137,624; licenses 127,249. This kit is coherent with it.</t>
  </si>
  <si>
    <t xml:space="preserve">Engine reconciliation</t>
  </si>
  <si>
    <t xml:space="preserve">The engine computes the promo scenario at ~USD 137.5k from CB 1,693 / CE 2,438. The official report shows 137,624; the USD ~121 gap comes from seat split rounding in the source. Both round to +5% vs today.</t>
  </si>
  <si>
    <t xml:space="preserve">Monthly FY26 series</t>
  </si>
  <si>
    <t xml:space="preserve">db.json uso_mensal, MSX FY26 (Jul/25 to May/26). GHCP ACR grew 4.2x over the series.</t>
  </si>
  <si>
    <t xml:space="preserve">Model mix</t>
  </si>
  <si>
    <t xml:space="preserve">db.json modelos_tokens, Model Level Details April 2026. Sum matches the 231,704 consumption.</t>
  </si>
  <si>
    <t xml:space="preserve">Plan table</t>
  </si>
  <si>
    <t xml:space="preserve">GitHub Copilot list: Business USD 19 and 1,900 credits; Enterprise USD 39 and 3,900; promo 3,000 and 7,000. Verify at docs.github.com before client use.</t>
  </si>
  <si>
    <t xml:space="preserve">R1-R7 bands</t>
  </si>
  <si>
    <t xml:space="preserve">Official mechanics documented in the PT-BR runbook v2.1.0 and the internal HTML v8. Bands are ranges with sources, never promises.</t>
  </si>
  <si>
    <t xml:space="preserve">Simulator defaults</t>
  </si>
  <si>
    <t xml:space="preserve">Lean-start values; combined effect is multiplicative. Mature programs reach 55-70%.</t>
  </si>
  <si>
    <t xml:space="preserve">P3 and Deal Desk</t>
  </si>
  <si>
    <t xml:space="preserve">Subject to eligibility and approval. Not a GitHub announcement; do not present as guaranteed.</t>
  </si>
  <si>
    <t xml:space="preserve">Promo window</t>
  </si>
  <si>
    <t xml:space="preserve">90 days, June to August 2026, expiry 2026-09-01. The September jump is the decision deadline.</t>
  </si>
  <si>
    <t xml:space="preserve">FY27 ramp curve</t>
  </si>
  <si>
    <t xml:space="preserve">Editable assumption reflecting typical program maturation; replace with actuals as they land.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</si>
</sst>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\x"/>
    <numFmt numFmtId="167" formatCode="0.0%"/>
    <numFmt numFmtId="168" formatCode="#,##0;\(#,##0\);\-"/>
    <numFmt numFmtId="169" formatCode="\$#,##0.00;&quot;($&quot;#,##0.00\);\-"/>
    <numFmt numFmtId="170" formatCode="0%"/>
    <numFmt numFmtId="171" formatCode="#,##0"/>
    <numFmt numFmtId="172" formatCode="0\x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A1A1A"/>
      <name val="Segoe UI"/>
      <family val="0"/>
      <charset val="1"/>
    </font>
    <font>
      <sz val="13"/>
      <color rgb="FF444444"/>
      <name val="Segoe UI"/>
      <family val="0"/>
      <charset val="1"/>
    </font>
    <font>
      <sz val="10"/>
      <color rgb="FF666666"/>
      <name val="Segoe UI"/>
      <family val="0"/>
      <charset val="1"/>
    </font>
    <font>
      <b val="true"/>
      <sz val="11"/>
      <name val="Segoe UI"/>
      <family val="0"/>
      <charset val="1"/>
    </font>
    <font>
      <sz val="10"/>
      <color rgb="FF0563C1"/>
      <name val="Segoe UI"/>
      <family val="0"/>
      <charset val="1"/>
    </font>
    <font>
      <sz val="9"/>
      <color rgb="FF999999"/>
      <name val="Segoe UI"/>
      <family val="0"/>
      <charset val="1"/>
    </font>
    <font>
      <b val="true"/>
      <sz val="10"/>
      <color rgb="FF1A1A1A"/>
      <name val="Segoe UI"/>
      <family val="0"/>
      <charset val="1"/>
    </font>
    <font>
      <sz val="10"/>
      <color rgb="FF555555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9"/>
      <color rgb="FF1A1A1A"/>
      <name val="Segoe UI"/>
      <family val="0"/>
      <charset val="1"/>
    </font>
    <font>
      <sz val="9"/>
      <color rgb="FF1A1A1A"/>
      <name val="Segoe UI"/>
      <family val="0"/>
      <charset val="1"/>
    </font>
    <font>
      <sz val="8"/>
      <color rgb="FF999999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b val="true"/>
      <sz val="18"/>
      <color rgb="FF1A1A1A"/>
      <name val="Segoe UI"/>
      <family val="0"/>
      <charset val="1"/>
    </font>
    <font>
      <sz val="10"/>
      <color rgb="FF1A1A1A"/>
      <name val="Segoe UI"/>
      <family val="0"/>
      <charset val="1"/>
    </font>
    <font>
      <b val="true"/>
      <sz val="10"/>
      <color rgb="FF0000FF"/>
      <name val="Segoe UI"/>
      <family val="0"/>
      <charset val="1"/>
    </font>
    <font>
      <b val="true"/>
      <sz val="10"/>
      <color rgb="FF008000"/>
      <name val="Segoe UI"/>
      <family val="0"/>
      <charset val="1"/>
    </font>
    <font>
      <b val="true"/>
      <sz val="8"/>
      <color rgb="FF666666"/>
      <name val="Segoe UI"/>
      <family val="0"/>
      <charset val="1"/>
    </font>
    <font>
      <b val="true"/>
      <sz val="15"/>
      <color rgb="FF1A1A1A"/>
      <name val="Segoe UI"/>
      <family val="0"/>
      <charset val="1"/>
    </font>
    <font>
      <b val="true"/>
      <sz val="13"/>
      <color rgb="FF1A1A1A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Segoe UI"/>
      <family val="0"/>
      <charset val="1"/>
    </font>
    <font>
      <sz val="9"/>
      <color rgb="FF777777"/>
      <name val="Segoe UI"/>
      <family val="0"/>
      <charset val="1"/>
    </font>
    <font>
      <b val="true"/>
      <sz val="10"/>
      <color rgb="FFF25022"/>
      <name val="Segoe UI"/>
      <family val="0"/>
      <charset val="1"/>
    </font>
    <font>
      <b val="true"/>
      <sz val="11"/>
      <color rgb="FF1A1A1A"/>
      <name val="Segoe UI"/>
      <family val="0"/>
      <charset val="1"/>
    </font>
    <font>
      <sz val="9"/>
      <color rgb="FF666666"/>
      <name val="Segoe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5022"/>
        <bgColor rgb="FFBE4B48"/>
      </patternFill>
    </fill>
    <fill>
      <patternFill patternType="solid">
        <fgColor rgb="FF7FBA00"/>
        <bgColor rgb="FF999999"/>
      </patternFill>
    </fill>
    <fill>
      <patternFill patternType="solid">
        <fgColor rgb="FF00A4EF"/>
        <bgColor rgb="FF33CCCC"/>
      </patternFill>
    </fill>
    <fill>
      <patternFill patternType="solid">
        <fgColor rgb="FFFFB900"/>
        <bgColor rgb="FFFF9900"/>
      </patternFill>
    </fill>
    <fill>
      <patternFill patternType="solid">
        <fgColor rgb="FF1A1A1A"/>
        <bgColor rgb="FF003300"/>
      </patternFill>
    </fill>
    <fill>
      <patternFill patternType="solid">
        <fgColor rgb="FFF2F2F2"/>
        <bgColor rgb="FFEFEFEF"/>
      </patternFill>
    </fill>
    <fill>
      <patternFill patternType="solid">
        <fgColor rgb="FFFFF2CC"/>
        <bgColor rgb="FFFDEF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FEFEF"/>
        </patternFill>
      </fill>
    </dxf>
    <dxf>
      <fill>
        <patternFill>
          <bgColor rgb="FFFDEF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F9F9F9"/>
      <rgbColor rgb="FF878787"/>
      <rgbColor rgb="FF9999FF"/>
      <rgbColor rgb="FFBE4B48"/>
      <rgbColor rgb="FFFFF2CC"/>
      <rgbColor rgb="FFEFEFE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4EF"/>
      <rgbColor rgb="FFF2F2F2"/>
      <rgbColor rgb="FFC6EFCE"/>
      <rgbColor rgb="FFFDEFEA"/>
      <rgbColor rgb="FF99CCFF"/>
      <rgbColor rgb="FFFF99CC"/>
      <rgbColor rgb="FFCC99FF"/>
      <rgbColor rgb="FFF8CBAD"/>
      <rgbColor rgb="FF4A7EBB"/>
      <rgbColor rgb="FF33CCCC"/>
      <rgbColor rgb="FF7FBA00"/>
      <rgbColor rgb="FFFFB900"/>
      <rgbColor rgb="FFFF9900"/>
      <rgbColor rgb="FFF25022"/>
      <rgbColor rgb="FF666666"/>
      <rgbColor rgb="FF999999"/>
      <rgbColor rgb="FF003366"/>
      <rgbColor rgb="FF4F81BD"/>
      <rgbColor rgb="FF003300"/>
      <rgbColor rgb="FF1A1A1A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three scenarios (USD/month)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Engine!$B$23:$B$25</c:f>
              <c:strCache>
                <c:ptCount val="3"/>
                <c:pt idx="0">
                  <c:v>Today (PRU model)</c:v>
                </c:pt>
                <c:pt idx="1">
                  <c:v>No action (Sep 2026 onward)</c:v>
                </c:pt>
                <c:pt idx="2">
                  <c:v>With promo (Jun-Aug 2026)</c:v>
                </c:pt>
              </c:strCache>
            </c:strRef>
          </c:cat>
          <c:val>
            <c:numRef>
              <c:f>Engine!$C$23:$C$25</c:f>
              <c:numCache>
                <c:formatCode>\$#,##0;"($"#,##0\);\-</c:formatCode>
                <c:ptCount val="3"/>
                <c:pt idx="0">
                  <c:v>130948</c:v>
                </c:pt>
                <c:pt idx="1">
                  <c:v>231704</c:v>
                </c:pt>
                <c:pt idx="2">
                  <c:v>137503</c:v>
                </c:pt>
              </c:numCache>
            </c:numRef>
          </c:val>
        </c:ser>
        <c:gapWidth val="150"/>
        <c:overlap val="0"/>
        <c:axId val="18884168"/>
        <c:axId val="31564534"/>
      </c:barChart>
      <c:catAx>
        <c:axId val="18884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64534"/>
        <c:crosses val="autoZero"/>
        <c:auto val="1"/>
        <c:lblAlgn val="ctr"/>
        <c:lblOffset val="100"/>
        <c:noMultiLvlLbl val="0"/>
      </c:catAx>
      <c:valAx>
        <c:axId val="31564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841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FY27 overage: no action vs with program (USD/month)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'Forecast FY27'!D7</c:f>
              <c:strCache>
                <c:ptCount val="1"/>
                <c:pt idx="0">
                  <c:v>No-action overage (USD)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FY27'!$B$10:$B$21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'Forecast FY27'!$D$8:$D$21</c:f>
              <c:numCache>
                <c:formatCode>\$#,##0;"($"#,##0\);\-</c:formatCode>
                <c:ptCount val="14"/>
                <c:pt idx="2">
                  <c:v>10254</c:v>
                </c:pt>
                <c:pt idx="3">
                  <c:v>10254</c:v>
                </c:pt>
                <c:pt idx="4">
                  <c:v>104455</c:v>
                </c:pt>
                <c:pt idx="5">
                  <c:v>104455</c:v>
                </c:pt>
                <c:pt idx="6">
                  <c:v>104455</c:v>
                </c:pt>
                <c:pt idx="7">
                  <c:v>104455</c:v>
                </c:pt>
                <c:pt idx="8">
                  <c:v>104455</c:v>
                </c:pt>
                <c:pt idx="9">
                  <c:v>104455</c:v>
                </c:pt>
                <c:pt idx="10">
                  <c:v>104455</c:v>
                </c:pt>
                <c:pt idx="11">
                  <c:v>104455</c:v>
                </c:pt>
                <c:pt idx="12">
                  <c:v>104455</c:v>
                </c:pt>
                <c:pt idx="13">
                  <c:v>104455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'Forecast FY27'!E7</c:f>
              <c:strCache>
                <c:ptCount val="1"/>
                <c:pt idx="0">
                  <c:v>With-program overage (USD)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FY27'!$B$10:$B$21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'Forecast FY27'!$E$8:$E$21</c:f>
              <c:numCache>
                <c:formatCode>\$#,##0;"($"#,##0\);\-</c:formatCode>
                <c:ptCount val="14"/>
                <c:pt idx="2">
                  <c:v>10254</c:v>
                </c:pt>
                <c:pt idx="3">
                  <c:v>6726.06021152731</c:v>
                </c:pt>
                <c:pt idx="4">
                  <c:v>93871.1806345819</c:v>
                </c:pt>
                <c:pt idx="5">
                  <c:v>83287.3612691638</c:v>
                </c:pt>
                <c:pt idx="6">
                  <c:v>72703.5419037456</c:v>
                </c:pt>
                <c:pt idx="7">
                  <c:v>62119.7225383275</c:v>
                </c:pt>
                <c:pt idx="8">
                  <c:v>51535.9031729094</c:v>
                </c:pt>
                <c:pt idx="9">
                  <c:v>44480.023595964</c:v>
                </c:pt>
                <c:pt idx="10">
                  <c:v>39540.9078921022</c:v>
                </c:pt>
                <c:pt idx="11">
                  <c:v>36718.556061324</c:v>
                </c:pt>
                <c:pt idx="12">
                  <c:v>35307.3801459349</c:v>
                </c:pt>
                <c:pt idx="13">
                  <c:v>33896.2042305459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990935"/>
        <c:axId val="83904368"/>
      </c:lineChart>
      <c:catAx>
        <c:axId val="539909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04368"/>
        <c:crosses val="autoZero"/>
        <c:auto val="1"/>
        <c:lblAlgn val="ctr"/>
        <c:lblOffset val="100"/>
        <c:noMultiLvlLbl val="0"/>
      </c:catAx>
      <c:valAx>
        <c:axId val="839043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90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mix, top 8 by token cost (USD, Apr/26)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Mix'!$B$8:$B$15</c:f>
              <c:strCache>
                <c:ptCount val="8"/>
                <c:pt idx="0">
                  <c:v>claude opus 4.6</c:v>
                </c:pt>
                <c:pt idx="1">
                  <c:v>claude sonnet 4.6</c:v>
                </c:pt>
                <c:pt idx="2">
                  <c:v>claude opus 4.7</c:v>
                </c:pt>
                <c:pt idx="3">
                  <c:v>claude sonnet 4.5</c:v>
                </c:pt>
                <c:pt idx="4">
                  <c:v>gpt 5.4</c:v>
                </c:pt>
                <c:pt idx="5">
                  <c:v>gpt 5.3 codex</c:v>
                </c:pt>
                <c:pt idx="6">
                  <c:v>claude opus 4.6 fast</c:v>
                </c:pt>
                <c:pt idx="7">
                  <c:v>claude opus 4.5</c:v>
                </c:pt>
              </c:strCache>
            </c:strRef>
          </c:cat>
          <c:val>
            <c:numRef>
              <c:f>'Model Mix'!$C$8:$C$15</c:f>
              <c:numCache>
                <c:formatCode>\$#,##0;"($"#,##0\);\-</c:formatCode>
                <c:ptCount val="8"/>
                <c:pt idx="0">
                  <c:v>100516</c:v>
                </c:pt>
                <c:pt idx="1">
                  <c:v>59960</c:v>
                </c:pt>
                <c:pt idx="2">
                  <c:v>19004</c:v>
                </c:pt>
                <c:pt idx="3">
                  <c:v>10514</c:v>
                </c:pt>
                <c:pt idx="4">
                  <c:v>9623</c:v>
                </c:pt>
                <c:pt idx="5">
                  <c:v>9297</c:v>
                </c:pt>
                <c:pt idx="6">
                  <c:v>5898</c:v>
                </c:pt>
                <c:pt idx="7">
                  <c:v>4455</c:v>
                </c:pt>
              </c:numCache>
            </c:numRef>
          </c:val>
        </c:ser>
        <c:gapWidth val="150"/>
        <c:overlap val="0"/>
        <c:axId val="45582557"/>
        <c:axId val="10470961"/>
      </c:barChart>
      <c:catAx>
        <c:axId val="455825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70961"/>
        <c:crosses val="autoZero"/>
        <c:auto val="1"/>
        <c:lblAlgn val="ctr"/>
        <c:lblOffset val="100"/>
        <c:noMultiLvlLbl val="0"/>
      </c:catAx>
      <c:valAx>
        <c:axId val="10470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2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FY26 GHCP ACR, audited series (USD/month)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'Consumption FY26'!D7</c:f>
              <c:strCache>
                <c:ptCount val="1"/>
                <c:pt idx="0">
                  <c:v>GHCP ACR (USD)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'Consumption FY26'!$B$8:$B$18</c:f>
              <c:strCache>
                <c:ptCount val="11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</c:strCache>
            </c:strRef>
          </c:cat>
          <c:val>
            <c:numRef>
              <c:f>'Consumption FY26'!$D$8:$D$18</c:f>
              <c:numCache>
                <c:formatCode>\$#,##0;"($"#,##0\);\-</c:formatCode>
                <c:ptCount val="11"/>
                <c:pt idx="0">
                  <c:v>26003</c:v>
                </c:pt>
                <c:pt idx="1">
                  <c:v>29842</c:v>
                </c:pt>
                <c:pt idx="2">
                  <c:v>32127</c:v>
                </c:pt>
                <c:pt idx="3">
                  <c:v>36050</c:v>
                </c:pt>
                <c:pt idx="4">
                  <c:v>40501</c:v>
                </c:pt>
                <c:pt idx="5">
                  <c:v>43028</c:v>
                </c:pt>
                <c:pt idx="6">
                  <c:v>47366</c:v>
                </c:pt>
                <c:pt idx="7">
                  <c:v>52283</c:v>
                </c:pt>
                <c:pt idx="8">
                  <c:v>80071</c:v>
                </c:pt>
                <c:pt idx="9">
                  <c:v>95550</c:v>
                </c:pt>
                <c:pt idx="10">
                  <c:v>108722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70199"/>
        <c:axId val="21816372"/>
      </c:lineChart>
      <c:catAx>
        <c:axId val="97370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16372"/>
        <c:crosses val="autoZero"/>
        <c:auto val="1"/>
        <c:lblAlgn val="ctr"/>
        <c:lblOffset val="100"/>
        <c:noMultiLvlLbl val="0"/>
      </c:catAx>
      <c:valAx>
        <c:axId val="21816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70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41400</xdr:rowOff>
    </xdr:from>
    <xdr:to>
      <xdr:col>10</xdr:col>
      <xdr:colOff>322920</xdr:colOff>
      <xdr:row>27</xdr:row>
      <xdr:rowOff>154800</xdr:rowOff>
    </xdr:to>
    <xdr:graphicFrame>
      <xdr:nvGraphicFramePr>
        <xdr:cNvPr id="0" name="Chart 1"/>
        <xdr:cNvGraphicFramePr/>
      </xdr:nvGraphicFramePr>
      <xdr:xfrm>
        <a:off x="141120" y="2841840"/>
        <a:ext cx="5397840" cy="258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41400</xdr:rowOff>
    </xdr:from>
    <xdr:to>
      <xdr:col>19</xdr:col>
      <xdr:colOff>181800</xdr:colOff>
      <xdr:row>27</xdr:row>
      <xdr:rowOff>154800</xdr:rowOff>
    </xdr:to>
    <xdr:graphicFrame>
      <xdr:nvGraphicFramePr>
        <xdr:cNvPr id="1" name="Chart 2"/>
        <xdr:cNvGraphicFramePr/>
      </xdr:nvGraphicFramePr>
      <xdr:xfrm>
        <a:off x="5074920" y="2841840"/>
        <a:ext cx="5397840" cy="258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41040</xdr:rowOff>
    </xdr:from>
    <xdr:to>
      <xdr:col>10</xdr:col>
      <xdr:colOff>322920</xdr:colOff>
      <xdr:row>43</xdr:row>
      <xdr:rowOff>154440</xdr:rowOff>
    </xdr:to>
    <xdr:graphicFrame>
      <xdr:nvGraphicFramePr>
        <xdr:cNvPr id="2" name="Chart 3"/>
        <xdr:cNvGraphicFramePr/>
      </xdr:nvGraphicFramePr>
      <xdr:xfrm>
        <a:off x="141120" y="5889240"/>
        <a:ext cx="5397840" cy="259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41040</xdr:rowOff>
    </xdr:from>
    <xdr:to>
      <xdr:col>19</xdr:col>
      <xdr:colOff>181800</xdr:colOff>
      <xdr:row>43</xdr:row>
      <xdr:rowOff>154440</xdr:rowOff>
    </xdr:to>
    <xdr:graphicFrame>
      <xdr:nvGraphicFramePr>
        <xdr:cNvPr id="3" name="Chart 4"/>
        <xdr:cNvGraphicFramePr/>
      </xdr:nvGraphicFramePr>
      <xdr:xfrm>
        <a:off x="5074920" y="5889240"/>
        <a:ext cx="5397840" cy="259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70"/>
  </cols>
  <sheetData>
    <row r="2" customFormat="false" ht="6" hidden="false" customHeight="true" outlineLevel="0" collapsed="false">
      <c r="B2" s="2"/>
      <c r="C2" s="3"/>
      <c r="D2" s="4"/>
      <c r="E2" s="5"/>
    </row>
    <row r="5" customFormat="false" ht="31.5" hidden="false" customHeight="true" outlineLevel="0" collapsed="false">
      <c r="B5" s="6" t="s">
        <v>0</v>
      </c>
    </row>
    <row r="6" customFormat="false" ht="15.75" hidden="false" customHeight="true" outlineLevel="0" collapsed="false">
      <c r="B6" s="7" t="s">
        <v>1</v>
      </c>
    </row>
    <row r="8" customFormat="false" ht="102" hidden="false" customHeight="true" outlineLevel="0" collapsed="false">
      <c r="B8" s="8" t="s">
        <v>2</v>
      </c>
    </row>
    <row r="10" customFormat="false" ht="15" hidden="false" customHeight="true" outlineLevel="0" collapsed="false">
      <c r="B10" s="9" t="s">
        <v>3</v>
      </c>
    </row>
    <row r="11" customFormat="false" ht="15" hidden="false" customHeight="true" outlineLevel="0" collapsed="false">
      <c r="B11" s="10" t="s">
        <v>4</v>
      </c>
    </row>
    <row r="12" customFormat="false" ht="15" hidden="false" customHeight="true" outlineLevel="0" collapsed="false">
      <c r="B12" s="11" t="s">
        <v>5</v>
      </c>
    </row>
    <row r="14" customFormat="false" ht="15" hidden="false" customHeight="true" outlineLevel="0" collapsed="false">
      <c r="B14" s="9" t="s">
        <v>6</v>
      </c>
    </row>
    <row r="15" customFormat="false" ht="15" hidden="false" customHeight="true" outlineLevel="0" collapsed="false">
      <c r="B15" s="12" t="s">
        <v>7</v>
      </c>
      <c r="D15" s="13" t="s">
        <v>8</v>
      </c>
    </row>
    <row r="16" customFormat="false" ht="15" hidden="false" customHeight="true" outlineLevel="0" collapsed="false">
      <c r="B16" s="12" t="s">
        <v>9</v>
      </c>
      <c r="D16" s="13" t="s">
        <v>10</v>
      </c>
    </row>
    <row r="17" customFormat="false" ht="15" hidden="false" customHeight="true" outlineLevel="0" collapsed="false">
      <c r="B17" s="12" t="s">
        <v>11</v>
      </c>
      <c r="D17" s="13" t="s">
        <v>12</v>
      </c>
    </row>
    <row r="18" customFormat="false" ht="15" hidden="false" customHeight="true" outlineLevel="0" collapsed="false">
      <c r="B18" s="12" t="s">
        <v>13</v>
      </c>
      <c r="D18" s="13" t="s">
        <v>14</v>
      </c>
    </row>
    <row r="21" customFormat="false" ht="15" hidden="false" customHeight="true" outlineLevel="0" collapsed="false">
      <c r="B21" s="9" t="s">
        <v>15</v>
      </c>
    </row>
    <row r="22" customFormat="false" ht="15" hidden="false" customHeight="true" outlineLevel="0" collapsed="false">
      <c r="B22" s="14" t="s">
        <v>16</v>
      </c>
      <c r="C22" s="14" t="s">
        <v>17</v>
      </c>
      <c r="D22" s="14" t="s">
        <v>18</v>
      </c>
    </row>
    <row r="23" customFormat="false" ht="15" hidden="false" customHeight="true" outlineLevel="0" collapsed="false">
      <c r="B23" s="15" t="s">
        <v>19</v>
      </c>
      <c r="C23" s="16" t="s">
        <v>20</v>
      </c>
      <c r="D23" s="16" t="s">
        <v>21</v>
      </c>
    </row>
    <row r="24" customFormat="false" ht="15" hidden="false" customHeight="true" outlineLevel="0" collapsed="false">
      <c r="B24" s="17" t="s">
        <v>22</v>
      </c>
      <c r="C24" s="18" t="s">
        <v>23</v>
      </c>
      <c r="D24" s="18" t="s">
        <v>24</v>
      </c>
    </row>
    <row r="25" customFormat="false" ht="15" hidden="false" customHeight="true" outlineLevel="0" collapsed="false">
      <c r="B25" s="15" t="s">
        <v>25</v>
      </c>
      <c r="C25" s="16" t="s">
        <v>26</v>
      </c>
      <c r="D25" s="16" t="s">
        <v>27</v>
      </c>
    </row>
    <row r="26" customFormat="false" ht="15" hidden="false" customHeight="true" outlineLevel="0" collapsed="false">
      <c r="B26" s="17" t="s">
        <v>28</v>
      </c>
      <c r="C26" s="18" t="s">
        <v>29</v>
      </c>
      <c r="D26" s="18" t="s">
        <v>30</v>
      </c>
    </row>
    <row r="27" customFormat="false" ht="15" hidden="false" customHeight="true" outlineLevel="0" collapsed="false">
      <c r="B27" s="15" t="s">
        <v>31</v>
      </c>
      <c r="C27" s="16" t="s">
        <v>32</v>
      </c>
      <c r="D27" s="16" t="s">
        <v>33</v>
      </c>
    </row>
    <row r="30" customFormat="false" ht="15" hidden="false" customHeight="true" outlineLevel="0" collapsed="false">
      <c r="B30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95"/>
  </cols>
  <sheetData>
    <row r="2" customFormat="false" ht="15" hidden="false" customHeight="true" outlineLevel="0" collapsed="false">
      <c r="B2" s="20" t="s">
        <v>35</v>
      </c>
    </row>
    <row r="4" customFormat="false" ht="21.75" hidden="false" customHeight="true" outlineLevel="0" collapsed="false">
      <c r="B4" s="21" t="s">
        <v>36</v>
      </c>
    </row>
    <row r="5" customFormat="false" ht="15" hidden="false" customHeight="true" outlineLevel="0" collapsed="false">
      <c r="B5" s="22" t="s">
        <v>37</v>
      </c>
    </row>
    <row r="7" customFormat="false" ht="15" hidden="false" customHeight="true" outlineLevel="0" collapsed="false">
      <c r="B7" s="14" t="s">
        <v>38</v>
      </c>
      <c r="C7" s="14" t="s">
        <v>39</v>
      </c>
      <c r="D7" s="14" t="s">
        <v>40</v>
      </c>
    </row>
    <row r="8" customFormat="false" ht="27.75" hidden="false" customHeight="true" outlineLevel="0" collapsed="false">
      <c r="B8" s="23" t="s">
        <v>41</v>
      </c>
      <c r="C8" s="12" t="s">
        <v>42</v>
      </c>
      <c r="D8" s="24" t="s">
        <v>43</v>
      </c>
    </row>
    <row r="9" customFormat="false" ht="27.75" hidden="false" customHeight="true" outlineLevel="0" collapsed="false">
      <c r="B9" s="23" t="s">
        <v>44</v>
      </c>
      <c r="C9" s="12" t="s">
        <v>45</v>
      </c>
      <c r="D9" s="24" t="s">
        <v>46</v>
      </c>
    </row>
    <row r="10" customFormat="false" ht="27.75" hidden="false" customHeight="true" outlineLevel="0" collapsed="false">
      <c r="B10" s="23" t="s">
        <v>47</v>
      </c>
      <c r="C10" s="12" t="s">
        <v>48</v>
      </c>
      <c r="D10" s="24" t="s">
        <v>49</v>
      </c>
    </row>
    <row r="11" customFormat="false" ht="27.75" hidden="false" customHeight="true" outlineLevel="0" collapsed="false">
      <c r="B11" s="23" t="s">
        <v>50</v>
      </c>
      <c r="C11" s="12" t="s">
        <v>51</v>
      </c>
      <c r="D11" s="24" t="s">
        <v>52</v>
      </c>
    </row>
    <row r="12" customFormat="false" ht="27.75" hidden="false" customHeight="true" outlineLevel="0" collapsed="false">
      <c r="B12" s="23" t="s">
        <v>53</v>
      </c>
      <c r="C12" s="12" t="s">
        <v>54</v>
      </c>
      <c r="D12" s="24" t="s">
        <v>55</v>
      </c>
    </row>
    <row r="15" customFormat="false" ht="15" hidden="false" customHeight="true" outlineLevel="0" collapsed="false">
      <c r="B15" s="9" t="s">
        <v>56</v>
      </c>
    </row>
    <row r="16" customFormat="false" ht="15" hidden="false" customHeight="true" outlineLevel="0" collapsed="false">
      <c r="B16" s="25" t="s">
        <v>57</v>
      </c>
      <c r="C16" s="13" t="s">
        <v>58</v>
      </c>
    </row>
    <row r="17" customFormat="false" ht="15" hidden="false" customHeight="true" outlineLevel="0" collapsed="false">
      <c r="B17" s="26" t="s">
        <v>59</v>
      </c>
      <c r="C17" s="13" t="s">
        <v>60</v>
      </c>
    </row>
    <row r="18" customFormat="false" ht="15" hidden="false" customHeight="true" outlineLevel="0" collapsed="false">
      <c r="B18" s="12" t="s">
        <v>61</v>
      </c>
      <c r="C18" s="13" t="s">
        <v>62</v>
      </c>
    </row>
    <row r="19" customFormat="false" ht="15" hidden="false" customHeight="true" outlineLevel="0" collapsed="false">
      <c r="B19" s="27" t="s">
        <v>63</v>
      </c>
      <c r="C19" s="13" t="s">
        <v>64</v>
      </c>
    </row>
    <row r="22" customFormat="false" ht="15" hidden="false" customHeight="true" outlineLevel="0" collapsed="false">
      <c r="B22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2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2"/>
    <col collapsed="false" customWidth="true" hidden="false" outlineLevel="0" max="8" min="8" style="1" width="13"/>
    <col collapsed="false" customWidth="true" hidden="false" outlineLevel="0" max="9" min="9" style="1" width="9"/>
    <col collapsed="false" customWidth="true" hidden="false" outlineLevel="0" max="10" min="10" style="1" width="2"/>
    <col collapsed="false" customWidth="true" hidden="false" outlineLevel="0" max="11" min="11" style="1" width="13"/>
    <col collapsed="false" customWidth="true" hidden="false" outlineLevel="0" max="12" min="12" style="1" width="9"/>
    <col collapsed="false" customWidth="true" hidden="false" outlineLevel="0" max="13" min="13" style="1" width="2"/>
    <col collapsed="false" customWidth="true" hidden="false" outlineLevel="0" max="14" min="14" style="1" width="13"/>
    <col collapsed="false" customWidth="true" hidden="false" outlineLevel="0" max="15" min="15" style="1" width="9"/>
    <col collapsed="false" customWidth="true" hidden="false" outlineLevel="0" max="16" min="16" style="1" width="2"/>
    <col collapsed="false" customWidth="true" hidden="false" outlineLevel="0" max="17" min="17" style="1" width="13"/>
    <col collapsed="false" customWidth="true" hidden="false" outlineLevel="0" max="18" min="18" style="1" width="9"/>
    <col collapsed="false" customWidth="true" hidden="false" outlineLevel="0" max="19" min="19" style="1" width="2"/>
  </cols>
  <sheetData>
    <row r="2" customFormat="false" ht="15" hidden="false" customHeight="true" outlineLevel="0" collapsed="false">
      <c r="B2" s="28" t="s">
        <v>65</v>
      </c>
    </row>
    <row r="4" customFormat="false" ht="21.75" hidden="false" customHeight="true" outlineLevel="0" collapsed="false">
      <c r="B4" s="21" t="s">
        <v>66</v>
      </c>
    </row>
    <row r="5" customFormat="false" ht="15" hidden="false" customHeight="true" outlineLevel="0" collapsed="false">
      <c r="B5" s="22" t="s">
        <v>67</v>
      </c>
    </row>
    <row r="7" customFormat="false" ht="15" hidden="false" customHeight="true" outlineLevel="0" collapsed="false">
      <c r="B7" s="29" t="s">
        <v>68</v>
      </c>
      <c r="E7" s="29" t="s">
        <v>69</v>
      </c>
      <c r="H7" s="29" t="s">
        <v>70</v>
      </c>
      <c r="K7" s="29" t="s">
        <v>71</v>
      </c>
      <c r="N7" s="29" t="s">
        <v>72</v>
      </c>
      <c r="Q7" s="29" t="s">
        <v>73</v>
      </c>
    </row>
    <row r="8" customFormat="false" ht="18" hidden="false" customHeight="true" outlineLevel="0" collapsed="false">
      <c r="B8" s="30" t="n">
        <f aca="false">Engine!C23</f>
        <v>130948</v>
      </c>
      <c r="E8" s="30" t="n">
        <f aca="false">Engine!C24</f>
        <v>231704</v>
      </c>
      <c r="H8" s="30" t="n">
        <f aca="false">Engine!C25</f>
        <v>137503</v>
      </c>
      <c r="K8" s="30" t="n">
        <f aca="false">Engine!C26</f>
        <v>94201</v>
      </c>
      <c r="N8" s="30" t="n">
        <f aca="false">Simulator!C21</f>
        <v>846705.54923345</v>
      </c>
      <c r="Q8" s="30" t="n">
        <f aca="false">'Forecast FY27'!F22</f>
        <v>494617.158343873</v>
      </c>
    </row>
    <row r="9" customFormat="false" ht="15" hidden="false" customHeight="true" outlineLevel="0" collapsed="false">
      <c r="B9" s="19" t="s">
        <v>74</v>
      </c>
      <c r="E9" s="19" t="s">
        <v>75</v>
      </c>
      <c r="H9" s="19" t="s">
        <v>76</v>
      </c>
      <c r="K9" s="19" t="s">
        <v>77</v>
      </c>
      <c r="N9" s="19" t="s">
        <v>78</v>
      </c>
      <c r="Q9" s="19" t="s">
        <v>79</v>
      </c>
    </row>
    <row r="10" customFormat="false" ht="15" hidden="false" customHeight="true" outlineLevel="0" collapsed="false">
      <c r="B10" s="4"/>
      <c r="C10" s="4"/>
      <c r="E10" s="2"/>
      <c r="F10" s="2"/>
      <c r="H10" s="3"/>
      <c r="I10" s="3"/>
      <c r="K10" s="5"/>
      <c r="L10" s="5"/>
      <c r="N10" s="3"/>
      <c r="O10" s="3"/>
      <c r="Q10" s="4"/>
      <c r="R10" s="4"/>
    </row>
    <row r="12" customFormat="false" ht="15" hidden="false" customHeight="true" outlineLevel="0" collapsed="false">
      <c r="B12" s="29" t="s">
        <v>80</v>
      </c>
      <c r="E12" s="29" t="s">
        <v>81</v>
      </c>
      <c r="H12" s="29" t="s">
        <v>82</v>
      </c>
      <c r="K12" s="29" t="s">
        <v>83</v>
      </c>
      <c r="N12" s="29" t="s">
        <v>84</v>
      </c>
      <c r="Q12" s="29" t="s">
        <v>85</v>
      </c>
    </row>
    <row r="13" customFormat="false" ht="15.75" hidden="false" customHeight="true" outlineLevel="0" collapsed="false">
      <c r="B13" s="31" t="n">
        <f aca="false">Engine!C18</f>
        <v>1.82087089093038</v>
      </c>
      <c r="E13" s="32" t="n">
        <f aca="false">Engine!C19</f>
        <v>0.54918775679315</v>
      </c>
      <c r="H13" s="32" t="n">
        <f aca="false">'Model Mix'!C36</f>
        <v>0.88548702433719</v>
      </c>
      <c r="K13" s="32" t="n">
        <f aca="false">'Model Mix'!C37</f>
        <v>0.692593535690086</v>
      </c>
      <c r="N13" s="33" t="str">
        <f aca="false">COUNTIF('Action Plan R1-R7'!I8:I17,"Done")&amp;" / "&amp;COUNTA('Action Plan R1-R7'!B8:B17)</f>
        <v>0 / 10</v>
      </c>
      <c r="Q13" s="34" t="n">
        <f aca="false">COUNTIF('Action Plan R1-R7'!I8:I17,"Blocked")+COUNTIF('90-Day Plan'!G8:G19,"Blocked")</f>
        <v>0</v>
      </c>
    </row>
    <row r="14" customFormat="false" ht="15" hidden="false" customHeight="true" outlineLevel="0" collapsed="false">
      <c r="B14" s="19" t="s">
        <v>86</v>
      </c>
      <c r="E14" s="19" t="s">
        <v>87</v>
      </c>
      <c r="H14" s="19" t="s">
        <v>88</v>
      </c>
      <c r="K14" s="19" t="s">
        <v>89</v>
      </c>
      <c r="N14" s="19" t="s">
        <v>90</v>
      </c>
      <c r="Q14" s="19" t="s">
        <v>91</v>
      </c>
    </row>
    <row r="49" customFormat="false" ht="15" hidden="false" customHeight="true" outlineLevel="0" collapsed="false">
      <c r="B49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80"/>
  </cols>
  <sheetData>
    <row r="2" customFormat="false" ht="15" hidden="false" customHeight="true" outlineLevel="0" collapsed="false">
      <c r="B2" s="35" t="s">
        <v>19</v>
      </c>
    </row>
    <row r="4" customFormat="false" ht="21.75" hidden="false" customHeight="true" outlineLevel="0" collapsed="false">
      <c r="B4" s="21" t="s">
        <v>20</v>
      </c>
    </row>
    <row r="5" customFormat="false" ht="15" hidden="false" customHeight="true" outlineLevel="0" collapsed="false">
      <c r="B5" s="22" t="s">
        <v>92</v>
      </c>
    </row>
    <row r="7" customFormat="false" ht="15" hidden="false" customHeight="true" outlineLevel="0" collapsed="false">
      <c r="B7" s="14" t="s">
        <v>93</v>
      </c>
      <c r="C7" s="14" t="s">
        <v>94</v>
      </c>
      <c r="D7" s="14" t="s">
        <v>95</v>
      </c>
    </row>
    <row r="8" customFormat="false" ht="15" hidden="false" customHeight="true" outlineLevel="0" collapsed="false">
      <c r="B8" s="12" t="s">
        <v>96</v>
      </c>
      <c r="C8" s="36" t="s">
        <v>97</v>
      </c>
      <c r="D8" s="37" t="s">
        <v>98</v>
      </c>
    </row>
    <row r="9" customFormat="false" ht="15" hidden="false" customHeight="true" outlineLevel="0" collapsed="false">
      <c r="B9" s="12" t="s">
        <v>99</v>
      </c>
      <c r="C9" s="38" t="n">
        <v>5336866</v>
      </c>
      <c r="D9" s="37" t="s">
        <v>100</v>
      </c>
    </row>
    <row r="10" customFormat="false" ht="15" hidden="false" customHeight="true" outlineLevel="0" collapsed="false">
      <c r="B10" s="12" t="s">
        <v>101</v>
      </c>
      <c r="C10" s="36" t="s">
        <v>102</v>
      </c>
      <c r="D10" s="37" t="s">
        <v>103</v>
      </c>
    </row>
    <row r="11" customFormat="false" ht="15" hidden="false" customHeight="true" outlineLevel="0" collapsed="false">
      <c r="B11" s="12" t="s">
        <v>104</v>
      </c>
      <c r="C11" s="38" t="n">
        <v>1693</v>
      </c>
      <c r="D11" s="37" t="s">
        <v>105</v>
      </c>
    </row>
    <row r="12" customFormat="false" ht="15" hidden="false" customHeight="true" outlineLevel="0" collapsed="false">
      <c r="B12" s="12" t="s">
        <v>106</v>
      </c>
      <c r="C12" s="38" t="n">
        <v>2438</v>
      </c>
      <c r="D12" s="37" t="s">
        <v>105</v>
      </c>
    </row>
    <row r="13" customFormat="false" ht="15" hidden="false" customHeight="true" outlineLevel="0" collapsed="false">
      <c r="B13" s="12" t="s">
        <v>107</v>
      </c>
      <c r="C13" s="39" t="n">
        <v>0.01</v>
      </c>
      <c r="D13" s="37" t="s">
        <v>108</v>
      </c>
    </row>
    <row r="14" customFormat="false" ht="15" hidden="false" customHeight="true" outlineLevel="0" collapsed="false">
      <c r="B14" s="12" t="s">
        <v>109</v>
      </c>
      <c r="C14" s="40" t="n">
        <v>231704</v>
      </c>
      <c r="D14" s="37" t="s">
        <v>110</v>
      </c>
    </row>
    <row r="15" customFormat="false" ht="15" hidden="false" customHeight="true" outlineLevel="0" collapsed="false">
      <c r="B15" s="12" t="s">
        <v>111</v>
      </c>
      <c r="C15" s="40" t="n">
        <v>3699</v>
      </c>
      <c r="D15" s="37" t="s">
        <v>112</v>
      </c>
    </row>
    <row r="16" customFormat="false" ht="15" hidden="false" customHeight="true" outlineLevel="0" collapsed="false">
      <c r="B16" s="12" t="s">
        <v>113</v>
      </c>
      <c r="C16" s="38" t="n">
        <v>2</v>
      </c>
      <c r="D16" s="37" t="s">
        <v>114</v>
      </c>
    </row>
    <row r="17" customFormat="false" ht="15" hidden="false" customHeight="true" outlineLevel="0" collapsed="false">
      <c r="B17" s="12" t="s">
        <v>115</v>
      </c>
      <c r="C17" s="41" t="n">
        <v>0.15</v>
      </c>
      <c r="D17" s="37" t="s">
        <v>116</v>
      </c>
    </row>
    <row r="18" customFormat="false" ht="15" hidden="false" customHeight="true" outlineLevel="0" collapsed="false">
      <c r="B18" s="12" t="s">
        <v>117</v>
      </c>
      <c r="C18" s="36" t="s">
        <v>118</v>
      </c>
      <c r="D18" s="37" t="s">
        <v>119</v>
      </c>
    </row>
    <row r="19" customFormat="false" ht="15" hidden="false" customHeight="true" outlineLevel="0" collapsed="false">
      <c r="B19" s="12" t="s">
        <v>120</v>
      </c>
      <c r="C19" s="42" t="n">
        <v>2.68</v>
      </c>
      <c r="D19" s="37" t="s">
        <v>121</v>
      </c>
    </row>
    <row r="20" customFormat="false" ht="15" hidden="false" customHeight="true" outlineLevel="0" collapsed="false">
      <c r="B20" s="12" t="s">
        <v>122</v>
      </c>
      <c r="C20" s="38" t="n">
        <v>10</v>
      </c>
      <c r="D20" s="37" t="s">
        <v>123</v>
      </c>
    </row>
    <row r="23" customFormat="false" ht="15" hidden="false" customHeight="true" outlineLevel="0" collapsed="false">
      <c r="B23" s="19" t="s">
        <v>34</v>
      </c>
    </row>
  </sheetData>
  <dataValidations count="1">
    <dataValidation allowBlank="false" errorStyle="stop" operator="between" showDropDown="false" showErrorMessage="false" showInputMessage="false" sqref="C10" type="list">
      <formula1>"Business,Enterprise"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4" min="3" style="1" width="22"/>
    <col collapsed="false" customWidth="true" hidden="false" outlineLevel="0" max="5" min="5" style="1" width="24"/>
    <col collapsed="false" customWidth="true" hidden="false" outlineLevel="0" max="6" min="6" style="1" width="22"/>
  </cols>
  <sheetData>
    <row r="2" customFormat="false" ht="15" hidden="false" customHeight="true" outlineLevel="0" collapsed="false">
      <c r="B2" s="43" t="s">
        <v>22</v>
      </c>
    </row>
    <row r="4" customFormat="false" ht="21.75" hidden="false" customHeight="true" outlineLevel="0" collapsed="false">
      <c r="B4" s="21" t="s">
        <v>124</v>
      </c>
    </row>
    <row r="5" customFormat="false" ht="15" hidden="false" customHeight="true" outlineLevel="0" collapsed="false">
      <c r="B5" s="22" t="s">
        <v>125</v>
      </c>
    </row>
    <row r="7" customFormat="false" ht="15" hidden="false" customHeight="true" outlineLevel="0" collapsed="false">
      <c r="B7" s="9" t="s">
        <v>126</v>
      </c>
    </row>
    <row r="8" customFormat="false" ht="21.75" hidden="false" customHeight="true" outlineLevel="0" collapsed="false">
      <c r="B8" s="14" t="s">
        <v>101</v>
      </c>
      <c r="C8" s="14" t="s">
        <v>127</v>
      </c>
      <c r="D8" s="14" t="s">
        <v>128</v>
      </c>
      <c r="E8" s="14" t="s">
        <v>129</v>
      </c>
    </row>
    <row r="9" customFormat="false" ht="15" hidden="false" customHeight="true" outlineLevel="0" collapsed="false">
      <c r="B9" s="12" t="s">
        <v>130</v>
      </c>
      <c r="C9" s="44" t="n">
        <v>1900</v>
      </c>
      <c r="D9" s="44" t="n">
        <v>3000</v>
      </c>
      <c r="E9" s="45" t="n">
        <v>19</v>
      </c>
    </row>
    <row r="10" customFormat="false" ht="15" hidden="false" customHeight="true" outlineLevel="0" collapsed="false">
      <c r="B10" s="12" t="s">
        <v>102</v>
      </c>
      <c r="C10" s="44" t="n">
        <v>3900</v>
      </c>
      <c r="D10" s="44" t="n">
        <v>7000</v>
      </c>
      <c r="E10" s="45" t="n">
        <v>39</v>
      </c>
    </row>
    <row r="12" customFormat="false" ht="15" hidden="false" customHeight="true" outlineLevel="0" collapsed="false">
      <c r="B12" s="9" t="s">
        <v>131</v>
      </c>
    </row>
    <row r="13" customFormat="false" ht="15" hidden="false" customHeight="true" outlineLevel="0" collapsed="false">
      <c r="B13" s="23" t="s">
        <v>132</v>
      </c>
      <c r="C13" s="46" t="n">
        <f aca="false">'Client Intake'!C11*E9+'Client Intake'!C12*E10</f>
        <v>127249</v>
      </c>
    </row>
    <row r="14" customFormat="false" ht="15" hidden="false" customHeight="true" outlineLevel="0" collapsed="false">
      <c r="B14" s="23" t="s">
        <v>133</v>
      </c>
      <c r="C14" s="46" t="n">
        <f aca="false">('Client Intake'!C11*C9+'Client Intake'!C12*C10)*'Client Intake'!C13</f>
        <v>127249</v>
      </c>
    </row>
    <row r="15" customFormat="false" ht="15" hidden="false" customHeight="true" outlineLevel="0" collapsed="false">
      <c r="B15" s="23" t="s">
        <v>134</v>
      </c>
      <c r="C15" s="46" t="n">
        <f aca="false">('Client Intake'!C11*D9+'Client Intake'!C12*D10)*'Client Intake'!C13</f>
        <v>221450</v>
      </c>
    </row>
    <row r="16" customFormat="false" ht="15" hidden="false" customHeight="true" outlineLevel="0" collapsed="false">
      <c r="B16" s="23" t="s">
        <v>135</v>
      </c>
      <c r="C16" s="46" t="n">
        <f aca="false">MAX(0,'Client Intake'!C14-C14)</f>
        <v>104455</v>
      </c>
    </row>
    <row r="17" customFormat="false" ht="15" hidden="false" customHeight="true" outlineLevel="0" collapsed="false">
      <c r="B17" s="23" t="s">
        <v>136</v>
      </c>
      <c r="C17" s="46" t="n">
        <f aca="false">MAX(0,'Client Intake'!C14-C15)</f>
        <v>10254</v>
      </c>
    </row>
    <row r="18" customFormat="false" ht="15" hidden="false" customHeight="true" outlineLevel="0" collapsed="false">
      <c r="B18" s="23" t="s">
        <v>137</v>
      </c>
      <c r="C18" s="47" t="n">
        <f aca="false">IF(C14=0,0,'Client Intake'!C14/C14)</f>
        <v>1.82087089093038</v>
      </c>
    </row>
    <row r="19" customFormat="false" ht="15" hidden="false" customHeight="true" outlineLevel="0" collapsed="false">
      <c r="B19" s="23" t="s">
        <v>138</v>
      </c>
      <c r="C19" s="48" t="n">
        <f aca="false">IF('Client Intake'!C14=0,0,MIN(1,C14/'Client Intake'!C14))</f>
        <v>0.54918775679315</v>
      </c>
    </row>
    <row r="21" customFormat="false" ht="15" hidden="false" customHeight="true" outlineLevel="0" collapsed="false">
      <c r="B21" s="9" t="s">
        <v>139</v>
      </c>
    </row>
    <row r="22" customFormat="false" ht="15" hidden="false" customHeight="true" outlineLevel="0" collapsed="false">
      <c r="B22" s="14" t="s">
        <v>140</v>
      </c>
      <c r="C22" s="14" t="s">
        <v>141</v>
      </c>
      <c r="D22" s="14" t="s">
        <v>142</v>
      </c>
      <c r="E22" s="14" t="s">
        <v>143</v>
      </c>
      <c r="F22" s="14" t="s">
        <v>144</v>
      </c>
    </row>
    <row r="23" customFormat="false" ht="15" hidden="false" customHeight="true" outlineLevel="0" collapsed="false">
      <c r="B23" s="12" t="s">
        <v>145</v>
      </c>
      <c r="C23" s="46" t="n">
        <f aca="false">C13+'Client Intake'!C15</f>
        <v>130948</v>
      </c>
      <c r="D23" s="49" t="n">
        <f aca="false">C23*12</f>
        <v>1571376</v>
      </c>
      <c r="E23" s="49" t="n">
        <f aca="false">C23-$C$23</f>
        <v>0</v>
      </c>
      <c r="F23" s="50" t="n">
        <f aca="false">IF($C$23=0,0,(C23-$C$23)/$C$23)</f>
        <v>0</v>
      </c>
    </row>
    <row r="24" customFormat="false" ht="15" hidden="false" customHeight="true" outlineLevel="0" collapsed="false">
      <c r="B24" s="12" t="s">
        <v>146</v>
      </c>
      <c r="C24" s="46" t="n">
        <f aca="false">C13+C16</f>
        <v>231704</v>
      </c>
      <c r="D24" s="49" t="n">
        <f aca="false">C24*12</f>
        <v>2780448</v>
      </c>
      <c r="E24" s="49" t="n">
        <f aca="false">C24-$C$23</f>
        <v>100756</v>
      </c>
      <c r="F24" s="50" t="n">
        <f aca="false">IF($C$23=0,0,(C24-$C$23)/$C$23)</f>
        <v>0.769435195650182</v>
      </c>
    </row>
    <row r="25" customFormat="false" ht="15" hidden="false" customHeight="true" outlineLevel="0" collapsed="false">
      <c r="B25" s="12" t="s">
        <v>147</v>
      </c>
      <c r="C25" s="46" t="n">
        <f aca="false">C13+C17</f>
        <v>137503</v>
      </c>
      <c r="D25" s="49" t="n">
        <f aca="false">C25*12</f>
        <v>1650036</v>
      </c>
      <c r="E25" s="49" t="n">
        <f aca="false">C25-$C$23</f>
        <v>6555</v>
      </c>
      <c r="F25" s="50" t="n">
        <f aca="false">IF($C$23=0,0,(C25-$C$23)/$C$23)</f>
        <v>0.0500580383052815</v>
      </c>
    </row>
    <row r="26" customFormat="false" ht="15" hidden="false" customHeight="true" outlineLevel="0" collapsed="false">
      <c r="B26" s="12" t="s">
        <v>148</v>
      </c>
      <c r="C26" s="51" t="n">
        <f aca="false">C24-C25</f>
        <v>94201</v>
      </c>
      <c r="D26" s="49" t="n">
        <f aca="false">(C24-C25)*12</f>
        <v>1130412</v>
      </c>
    </row>
    <row r="27" customFormat="false" ht="15" hidden="false" customHeight="true" outlineLevel="0" collapsed="false">
      <c r="B27" s="23" t="s">
        <v>149</v>
      </c>
      <c r="C27" s="46" t="n">
        <f aca="false">(C24-C23)*12</f>
        <v>1209072</v>
      </c>
    </row>
    <row r="29" customFormat="false" ht="15" hidden="false" customHeight="true" outlineLevel="0" collapsed="false">
      <c r="B29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16"/>
  </cols>
  <sheetData>
    <row r="2" customFormat="false" ht="15" hidden="false" customHeight="true" outlineLevel="0" collapsed="false">
      <c r="B2" s="52" t="s">
        <v>150</v>
      </c>
    </row>
    <row r="4" customFormat="false" ht="21.75" hidden="false" customHeight="true" outlineLevel="0" collapsed="false">
      <c r="B4" s="21" t="s">
        <v>151</v>
      </c>
    </row>
    <row r="5" customFormat="false" ht="15" hidden="false" customHeight="true" outlineLevel="0" collapsed="false">
      <c r="B5" s="22" t="s">
        <v>152</v>
      </c>
    </row>
    <row r="7" customFormat="false" ht="21.75" hidden="false" customHeight="true" outlineLevel="0" collapsed="false">
      <c r="B7" s="14" t="s">
        <v>153</v>
      </c>
      <c r="C7" s="14" t="s">
        <v>154</v>
      </c>
      <c r="D7" s="14" t="s">
        <v>155</v>
      </c>
      <c r="E7" s="14" t="s">
        <v>156</v>
      </c>
      <c r="F7" s="14" t="s">
        <v>157</v>
      </c>
      <c r="G7" s="14" t="s">
        <v>158</v>
      </c>
      <c r="H7" s="14" t="s">
        <v>159</v>
      </c>
      <c r="I7" s="14" t="s">
        <v>160</v>
      </c>
    </row>
    <row r="8" customFormat="false" ht="15" hidden="false" customHeight="true" outlineLevel="0" collapsed="false">
      <c r="B8" s="23" t="s">
        <v>161</v>
      </c>
      <c r="C8" s="44" t="n">
        <v>1536.3</v>
      </c>
      <c r="D8" s="45" t="n">
        <v>26003</v>
      </c>
      <c r="E8" s="45" t="n">
        <v>14</v>
      </c>
      <c r="F8" s="44" t="n">
        <v>420</v>
      </c>
      <c r="G8" s="44" t="n">
        <v>2325</v>
      </c>
      <c r="H8" s="50"/>
      <c r="I8" s="53" t="n">
        <f aca="false">D8/$D$8*100</f>
        <v>100</v>
      </c>
    </row>
    <row r="9" customFormat="false" ht="15" hidden="false" customHeight="true" outlineLevel="0" collapsed="false">
      <c r="B9" s="23" t="s">
        <v>162</v>
      </c>
      <c r="C9" s="44" t="n">
        <v>1743.7</v>
      </c>
      <c r="D9" s="45" t="n">
        <v>29842</v>
      </c>
      <c r="E9" s="45" t="n">
        <v>24</v>
      </c>
      <c r="F9" s="44" t="n">
        <v>753</v>
      </c>
      <c r="G9" s="44" t="n">
        <v>2347</v>
      </c>
      <c r="H9" s="50" t="n">
        <f aca="false">IF(D8=0,0,D9/D8-1)</f>
        <v>0.147636811137176</v>
      </c>
      <c r="I9" s="53" t="n">
        <f aca="false">D9/$D$8*100</f>
        <v>114.763681113718</v>
      </c>
    </row>
    <row r="10" customFormat="false" ht="15" hidden="false" customHeight="true" outlineLevel="0" collapsed="false">
      <c r="B10" s="23" t="s">
        <v>163</v>
      </c>
      <c r="C10" s="44" t="n">
        <v>1895.9</v>
      </c>
      <c r="D10" s="45" t="n">
        <v>32127</v>
      </c>
      <c r="E10" s="45" t="n">
        <v>66</v>
      </c>
      <c r="F10" s="44" t="n">
        <v>2038</v>
      </c>
      <c r="G10" s="44" t="n">
        <v>2361</v>
      </c>
      <c r="H10" s="50" t="n">
        <f aca="false">IF(D9=0,0,D10/D9-1)</f>
        <v>0.0765699349909523</v>
      </c>
      <c r="I10" s="53" t="n">
        <f aca="false">D10/$D$8*100</f>
        <v>123.551128715917</v>
      </c>
    </row>
    <row r="11" customFormat="false" ht="15" hidden="false" customHeight="true" outlineLevel="0" collapsed="false">
      <c r="B11" s="23" t="s">
        <v>164</v>
      </c>
      <c r="C11" s="44" t="n">
        <v>2114.5</v>
      </c>
      <c r="D11" s="45" t="n">
        <v>36050</v>
      </c>
      <c r="E11" s="45" t="n">
        <v>70</v>
      </c>
      <c r="F11" s="44" t="n">
        <v>2182</v>
      </c>
      <c r="G11" s="44" t="n">
        <v>2387</v>
      </c>
      <c r="H11" s="50" t="n">
        <f aca="false">IF(D10=0,0,D11/D10-1)</f>
        <v>0.122109129392723</v>
      </c>
      <c r="I11" s="53" t="n">
        <f aca="false">D11/$D$8*100</f>
        <v>138.637849478906</v>
      </c>
    </row>
    <row r="12" customFormat="false" ht="15" hidden="false" customHeight="true" outlineLevel="0" collapsed="false">
      <c r="B12" s="23" t="s">
        <v>165</v>
      </c>
      <c r="C12" s="44" t="n">
        <v>2323.5</v>
      </c>
      <c r="D12" s="45" t="n">
        <v>40501</v>
      </c>
      <c r="E12" s="45" t="n">
        <v>38</v>
      </c>
      <c r="F12" s="44" t="n">
        <v>1187</v>
      </c>
      <c r="G12" s="44" t="n">
        <v>2393</v>
      </c>
      <c r="H12" s="50" t="n">
        <f aca="false">IF(D11=0,0,D12/D11-1)</f>
        <v>0.123467406380028</v>
      </c>
      <c r="I12" s="53" t="n">
        <f aca="false">D12/$D$8*100</f>
        <v>155.755105180172</v>
      </c>
    </row>
    <row r="13" customFormat="false" ht="15" hidden="false" customHeight="true" outlineLevel="0" collapsed="false">
      <c r="B13" s="23" t="s">
        <v>166</v>
      </c>
      <c r="C13" s="44" t="n">
        <v>2424.5</v>
      </c>
      <c r="D13" s="45" t="n">
        <v>43028</v>
      </c>
      <c r="E13" s="45" t="n">
        <v>79</v>
      </c>
      <c r="F13" s="44" t="n">
        <v>2458</v>
      </c>
      <c r="G13" s="44" t="n">
        <v>2404</v>
      </c>
      <c r="H13" s="50" t="n">
        <f aca="false">IF(D12=0,0,D13/D12-1)</f>
        <v>0.0623935211476261</v>
      </c>
      <c r="I13" s="53" t="n">
        <f aca="false">D13/$D$8*100</f>
        <v>165.473214629081</v>
      </c>
    </row>
    <row r="14" customFormat="false" ht="15" hidden="false" customHeight="true" outlineLevel="0" collapsed="false">
      <c r="B14" s="23" t="s">
        <v>167</v>
      </c>
      <c r="C14" s="44" t="n">
        <v>2620.1</v>
      </c>
      <c r="D14" s="45" t="n">
        <v>47366</v>
      </c>
      <c r="E14" s="45" t="n">
        <v>288</v>
      </c>
      <c r="F14" s="44" t="n">
        <v>8969</v>
      </c>
      <c r="G14" s="44" t="n">
        <v>2412</v>
      </c>
      <c r="H14" s="50" t="n">
        <f aca="false">IF(D13=0,0,D14/D13-1)</f>
        <v>0.100818071953147</v>
      </c>
      <c r="I14" s="53" t="n">
        <f aca="false">D14/$D$8*100</f>
        <v>182.155905087874</v>
      </c>
    </row>
    <row r="15" customFormat="false" ht="15" hidden="false" customHeight="true" outlineLevel="0" collapsed="false">
      <c r="B15" s="23" t="s">
        <v>168</v>
      </c>
      <c r="C15" s="44" t="n">
        <v>2809.4</v>
      </c>
      <c r="D15" s="45" t="n">
        <v>52283</v>
      </c>
      <c r="E15" s="45" t="n">
        <v>694</v>
      </c>
      <c r="F15" s="44" t="n">
        <v>21583</v>
      </c>
      <c r="G15" s="44" t="n">
        <v>2420</v>
      </c>
      <c r="H15" s="50" t="n">
        <f aca="false">IF(D14=0,0,D15/D14-1)</f>
        <v>0.103808639108221</v>
      </c>
      <c r="I15" s="53" t="n">
        <f aca="false">D15/$D$8*100</f>
        <v>201.065261700573</v>
      </c>
    </row>
    <row r="16" customFormat="false" ht="15" hidden="false" customHeight="true" outlineLevel="0" collapsed="false">
      <c r="B16" s="23" t="s">
        <v>169</v>
      </c>
      <c r="C16" s="44" t="n">
        <v>3776.1</v>
      </c>
      <c r="D16" s="45" t="n">
        <v>80071</v>
      </c>
      <c r="E16" s="45" t="n">
        <v>1462</v>
      </c>
      <c r="F16" s="44" t="n">
        <v>45470</v>
      </c>
      <c r="G16" s="44" t="n">
        <v>3074</v>
      </c>
      <c r="H16" s="50" t="n">
        <f aca="false">IF(D15=0,0,D16/D15-1)</f>
        <v>0.531492071992809</v>
      </c>
      <c r="I16" s="53" t="n">
        <f aca="false">D16/$D$8*100</f>
        <v>307.929854247587</v>
      </c>
    </row>
    <row r="17" customFormat="false" ht="15" hidden="false" customHeight="true" outlineLevel="0" collapsed="false">
      <c r="B17" s="23" t="s">
        <v>170</v>
      </c>
      <c r="C17" s="44" t="n">
        <v>3808.9</v>
      </c>
      <c r="D17" s="45" t="n">
        <v>95550</v>
      </c>
      <c r="E17" s="45" t="n">
        <v>2876</v>
      </c>
      <c r="F17" s="44" t="n">
        <v>89450</v>
      </c>
      <c r="G17" s="44" t="n">
        <v>3078</v>
      </c>
      <c r="H17" s="50" t="n">
        <f aca="false">IF(D16=0,0,D17/D16-1)</f>
        <v>0.193315932110252</v>
      </c>
      <c r="I17" s="53" t="n">
        <f aca="false">D17/$D$8*100</f>
        <v>367.457601046033</v>
      </c>
    </row>
    <row r="18" customFormat="false" ht="15" hidden="false" customHeight="true" outlineLevel="0" collapsed="false">
      <c r="B18" s="23" t="s">
        <v>171</v>
      </c>
      <c r="C18" s="44" t="n">
        <v>4076.5</v>
      </c>
      <c r="D18" s="45" t="n">
        <v>108722</v>
      </c>
      <c r="E18" s="45" t="n">
        <v>8021</v>
      </c>
      <c r="F18" s="44" t="n">
        <v>249457</v>
      </c>
      <c r="G18" s="44" t="n">
        <v>3102</v>
      </c>
      <c r="H18" s="50" t="n">
        <f aca="false">IF(D17=0,0,D18/D17-1)</f>
        <v>0.137854526425955</v>
      </c>
      <c r="I18" s="53" t="n">
        <f aca="false">D18/$D$8*100</f>
        <v>418.113294619852</v>
      </c>
    </row>
    <row r="20" customFormat="false" ht="15" hidden="false" customHeight="true" outlineLevel="0" collapsed="false">
      <c r="B20" s="54" t="s">
        <v>172</v>
      </c>
    </row>
    <row r="21" customFormat="false" ht="15" hidden="false" customHeight="true" outlineLevel="0" collapsed="false">
      <c r="B21" s="23" t="s">
        <v>173</v>
      </c>
      <c r="C21" s="48" t="n">
        <f aca="false">D18/D8-1</f>
        <v>3.18113294619852</v>
      </c>
    </row>
    <row r="22" customFormat="false" ht="15" hidden="false" customHeight="true" outlineLevel="0" collapsed="false">
      <c r="B22" s="23" t="s">
        <v>174</v>
      </c>
      <c r="C22" s="48" t="n">
        <f aca="false">AVERAGE(H15:H18)</f>
        <v>0.241617792409309</v>
      </c>
    </row>
    <row r="23" customFormat="false" ht="15" hidden="false" customHeight="true" outlineLevel="0" collapsed="false">
      <c r="B23" s="23" t="s">
        <v>175</v>
      </c>
      <c r="C23" s="55" t="n">
        <f aca="false">C18-C8</f>
        <v>2540.2</v>
      </c>
    </row>
    <row r="24" customFormat="false" ht="15" hidden="false" customHeight="true" outlineLevel="0" collapsed="false">
      <c r="B24" s="23" t="s">
        <v>176</v>
      </c>
      <c r="C24" s="56" t="n">
        <f aca="false">IF(E8=0,0,E18/E8)</f>
        <v>572.928571428571</v>
      </c>
    </row>
    <row r="27" customFormat="false" ht="15" hidden="false" customHeight="true" outlineLevel="0" collapsed="false">
      <c r="B27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0"/>
  </cols>
  <sheetData>
    <row r="2" customFormat="false" ht="15" hidden="false" customHeight="true" outlineLevel="0" collapsed="false">
      <c r="B2" s="35" t="s">
        <v>150</v>
      </c>
    </row>
    <row r="4" customFormat="false" ht="21.75" hidden="false" customHeight="true" outlineLevel="0" collapsed="false">
      <c r="B4" s="21" t="s">
        <v>177</v>
      </c>
    </row>
    <row r="5" customFormat="false" ht="15" hidden="false" customHeight="true" outlineLevel="0" collapsed="false">
      <c r="B5" s="22" t="s">
        <v>178</v>
      </c>
    </row>
    <row r="7" customFormat="false" ht="21.75" hidden="false" customHeight="true" outlineLevel="0" collapsed="false">
      <c r="B7" s="14" t="s">
        <v>179</v>
      </c>
      <c r="C7" s="14" t="s">
        <v>180</v>
      </c>
      <c r="D7" s="14" t="s">
        <v>181</v>
      </c>
      <c r="E7" s="14" t="s">
        <v>182</v>
      </c>
      <c r="F7" s="14" t="s">
        <v>183</v>
      </c>
      <c r="G7" s="14" t="s">
        <v>184</v>
      </c>
      <c r="H7" s="14" t="s">
        <v>185</v>
      </c>
      <c r="I7" s="14" t="s">
        <v>186</v>
      </c>
      <c r="J7" s="14" t="s">
        <v>187</v>
      </c>
    </row>
    <row r="8" customFormat="false" ht="15" hidden="false" customHeight="true" outlineLevel="0" collapsed="false">
      <c r="B8" s="12" t="s">
        <v>188</v>
      </c>
      <c r="C8" s="45" t="n">
        <v>100516</v>
      </c>
      <c r="D8" s="50" t="n">
        <f aca="false">C8/SUM($C$8:$C$33)</f>
        <v>0.43381397737621</v>
      </c>
      <c r="E8" s="44" t="n">
        <v>1450</v>
      </c>
      <c r="F8" s="44" t="n">
        <v>4161</v>
      </c>
      <c r="G8" s="44" t="n">
        <v>503</v>
      </c>
      <c r="H8" s="44" t="n">
        <v>60660</v>
      </c>
      <c r="I8" s="50" t="n">
        <f aca="false">IF(F8+G8+H8+J8=0,0,H8/(F8+G8+H8+J8))</f>
        <v>0.853801004968542</v>
      </c>
      <c r="J8" s="44" t="n">
        <v>5723</v>
      </c>
    </row>
    <row r="9" customFormat="false" ht="15" hidden="false" customHeight="true" outlineLevel="0" collapsed="false">
      <c r="B9" s="12" t="s">
        <v>189</v>
      </c>
      <c r="C9" s="45" t="n">
        <v>59960</v>
      </c>
      <c r="D9" s="50" t="n">
        <f aca="false">C9/SUM($C$8:$C$33)</f>
        <v>0.258779558313876</v>
      </c>
      <c r="E9" s="44" t="n">
        <v>2068</v>
      </c>
      <c r="F9" s="44" t="n">
        <v>4835</v>
      </c>
      <c r="G9" s="44" t="n">
        <v>608</v>
      </c>
      <c r="H9" s="44" t="n">
        <v>55658</v>
      </c>
      <c r="I9" s="50" t="n">
        <f aca="false">IF(F9+G9+H9+J9=0,0,H9/(F9+G9+H9+J9))</f>
        <v>0.839740494870248</v>
      </c>
      <c r="J9" s="44" t="n">
        <v>5179</v>
      </c>
    </row>
    <row r="10" customFormat="false" ht="15" hidden="false" customHeight="true" outlineLevel="0" collapsed="false">
      <c r="B10" s="12" t="s">
        <v>190</v>
      </c>
      <c r="C10" s="45" t="n">
        <v>19004</v>
      </c>
      <c r="D10" s="50" t="n">
        <f aca="false">C10/SUM($C$8:$C$33)</f>
        <v>0.08201879129748</v>
      </c>
      <c r="E10" s="44" t="n">
        <v>568</v>
      </c>
      <c r="F10" s="44" t="n">
        <v>155</v>
      </c>
      <c r="G10" s="44" t="n">
        <v>109</v>
      </c>
      <c r="H10" s="44" t="n">
        <v>12144</v>
      </c>
      <c r="I10" s="50" t="n">
        <f aca="false">IF(F10+G10+H10+J10=0,0,H10/(F10+G10+H10+J10))</f>
        <v>0.872539157924989</v>
      </c>
      <c r="J10" s="44" t="n">
        <v>1510</v>
      </c>
    </row>
    <row r="11" customFormat="false" ht="15" hidden="false" customHeight="true" outlineLevel="0" collapsed="false">
      <c r="B11" s="23" t="s">
        <v>191</v>
      </c>
      <c r="C11" s="45" t="n">
        <v>10514</v>
      </c>
      <c r="D11" s="50" t="n">
        <f aca="false">C11/SUM($C$8:$C$33)</f>
        <v>0.0453770559725165</v>
      </c>
      <c r="E11" s="44" t="n">
        <v>1163</v>
      </c>
      <c r="F11" s="44" t="n">
        <v>915</v>
      </c>
      <c r="G11" s="44" t="n">
        <v>88</v>
      </c>
      <c r="H11" s="44" t="n">
        <v>6347</v>
      </c>
      <c r="I11" s="50" t="n">
        <f aca="false">IF(F11+G11+H11+J11=0,0,H11/(F11+G11+H11+J11))</f>
        <v>0.741298761971502</v>
      </c>
      <c r="J11" s="44" t="n">
        <v>1212</v>
      </c>
    </row>
    <row r="12" customFormat="false" ht="15" hidden="false" customHeight="true" outlineLevel="0" collapsed="false">
      <c r="B12" s="23" t="s">
        <v>192</v>
      </c>
      <c r="C12" s="45" t="n">
        <v>9623</v>
      </c>
      <c r="D12" s="50" t="n">
        <f aca="false">C12/SUM($C$8:$C$33)</f>
        <v>0.0415316159048437</v>
      </c>
      <c r="E12" s="44" t="n">
        <v>1408</v>
      </c>
      <c r="F12" s="44" t="n">
        <v>1765</v>
      </c>
      <c r="G12" s="44" t="n">
        <v>140</v>
      </c>
      <c r="H12" s="44" t="n">
        <v>13039</v>
      </c>
      <c r="I12" s="50" t="n">
        <f aca="false">IF(F12+G12+H12+J12=0,0,H12/(F12+G12+H12+J12))</f>
        <v>0.87252408993576</v>
      </c>
      <c r="J12" s="44" t="n">
        <v>0</v>
      </c>
    </row>
    <row r="13" customFormat="false" ht="15" hidden="false" customHeight="true" outlineLevel="0" collapsed="false">
      <c r="B13" s="23" t="s">
        <v>193</v>
      </c>
      <c r="C13" s="45" t="n">
        <v>9297</v>
      </c>
      <c r="D13" s="50" t="n">
        <f aca="false">C13/SUM($C$8:$C$33)</f>
        <v>0.0401246423222833</v>
      </c>
      <c r="E13" s="44" t="n">
        <v>1445</v>
      </c>
      <c r="F13" s="44" t="n">
        <v>2531</v>
      </c>
      <c r="G13" s="44" t="n">
        <v>136</v>
      </c>
      <c r="H13" s="44" t="n">
        <v>19820</v>
      </c>
      <c r="I13" s="50" t="n">
        <f aca="false">IF(F13+G13+H13+J13=0,0,H13/(F13+G13+H13+J13))</f>
        <v>0.881398141148219</v>
      </c>
      <c r="J13" s="44" t="n">
        <v>0</v>
      </c>
    </row>
    <row r="14" customFormat="false" ht="15" hidden="false" customHeight="true" outlineLevel="0" collapsed="false">
      <c r="B14" s="23" t="s">
        <v>194</v>
      </c>
      <c r="C14" s="45" t="n">
        <v>5898</v>
      </c>
      <c r="D14" s="50" t="n">
        <f aca="false">C14/SUM($C$8:$C$33)</f>
        <v>0.0254550005826424</v>
      </c>
      <c r="E14" s="44" t="n">
        <v>67</v>
      </c>
      <c r="F14" s="44" t="n">
        <v>9</v>
      </c>
      <c r="G14" s="44" t="n">
        <v>8</v>
      </c>
      <c r="H14" s="44" t="n">
        <v>649</v>
      </c>
      <c r="I14" s="50" t="n">
        <f aca="false">IF(F14+G14+H14+J14=0,0,H14/(F14+G14+H14+J14))</f>
        <v>0.884196185286104</v>
      </c>
      <c r="J14" s="44" t="n">
        <v>68</v>
      </c>
    </row>
    <row r="15" customFormat="false" ht="15" hidden="false" customHeight="true" outlineLevel="0" collapsed="false">
      <c r="B15" s="23" t="s">
        <v>195</v>
      </c>
      <c r="C15" s="45" t="n">
        <v>4455</v>
      </c>
      <c r="D15" s="50" t="n">
        <f aca="false">C15/SUM($C$8:$C$33)</f>
        <v>0.0192272003383642</v>
      </c>
      <c r="E15" s="44" t="n">
        <v>262</v>
      </c>
      <c r="F15" s="44" t="n">
        <v>240</v>
      </c>
      <c r="G15" s="44" t="n">
        <v>19</v>
      </c>
      <c r="H15" s="44" t="n">
        <v>2116</v>
      </c>
      <c r="I15" s="50" t="n">
        <f aca="false">IF(F15+G15+H15+J15=0,0,H15/(F15+G15+H15+J15))</f>
        <v>0.798791996979993</v>
      </c>
      <c r="J15" s="44" t="n">
        <v>274</v>
      </c>
    </row>
    <row r="16" customFormat="false" ht="15" hidden="false" customHeight="true" outlineLevel="0" collapsed="false">
      <c r="B16" s="23" t="s">
        <v>196</v>
      </c>
      <c r="C16" s="45" t="n">
        <v>3992</v>
      </c>
      <c r="D16" s="50" t="n">
        <f aca="false">C16/SUM($C$8:$C$33)</f>
        <v>0.0172289525815376</v>
      </c>
      <c r="E16" s="44" t="n">
        <v>1654</v>
      </c>
      <c r="F16" s="44" t="n">
        <v>603</v>
      </c>
      <c r="G16" s="44" t="n">
        <v>189</v>
      </c>
      <c r="H16" s="44" t="n">
        <v>10261</v>
      </c>
      <c r="I16" s="50" t="n">
        <f aca="false">IF(F16+G16+H16+J16=0,0,H16/(F16+G16+H16+J16))</f>
        <v>0.83674467911604</v>
      </c>
      <c r="J16" s="44" t="n">
        <v>1210</v>
      </c>
    </row>
    <row r="17" customFormat="false" ht="15" hidden="false" customHeight="true" outlineLevel="0" collapsed="false">
      <c r="B17" s="23" t="s">
        <v>197</v>
      </c>
      <c r="C17" s="45" t="n">
        <v>2214</v>
      </c>
      <c r="D17" s="50" t="n">
        <f aca="false">C17/SUM($C$8:$C$33)</f>
        <v>0.00955533592573251</v>
      </c>
      <c r="E17" s="44" t="n">
        <v>1964</v>
      </c>
      <c r="F17" s="44" t="n">
        <v>636</v>
      </c>
      <c r="G17" s="44" t="n">
        <v>20</v>
      </c>
      <c r="H17" s="44" t="n">
        <v>1599</v>
      </c>
      <c r="I17" s="50" t="n">
        <f aca="false">IF(F17+G17+H17+J17=0,0,H17/(F17+G17+H17+J17))</f>
        <v>0.709090909090909</v>
      </c>
      <c r="J17" s="44" t="n">
        <v>0</v>
      </c>
    </row>
    <row r="18" customFormat="false" ht="15" hidden="false" customHeight="true" outlineLevel="0" collapsed="false">
      <c r="B18" s="23" t="s">
        <v>198</v>
      </c>
      <c r="C18" s="45" t="n">
        <v>1412</v>
      </c>
      <c r="D18" s="50" t="n">
        <f aca="false">C18/SUM($C$8:$C$33)</f>
        <v>0.00609400827783844</v>
      </c>
      <c r="E18" s="44" t="n">
        <v>506</v>
      </c>
      <c r="F18" s="44" t="n">
        <v>297</v>
      </c>
      <c r="G18" s="44" t="n">
        <v>28</v>
      </c>
      <c r="H18" s="44" t="n">
        <v>2827</v>
      </c>
      <c r="I18" s="50" t="n">
        <f aca="false">IF(F18+G18+H18+J18=0,0,H18/(F18+G18+H18+J18))</f>
        <v>0.896890862944162</v>
      </c>
      <c r="J18" s="44" t="n">
        <v>0</v>
      </c>
    </row>
    <row r="19" customFormat="false" ht="15" hidden="false" customHeight="true" outlineLevel="0" collapsed="false">
      <c r="B19" s="23" t="s">
        <v>199</v>
      </c>
      <c r="C19" s="45" t="n">
        <v>1384</v>
      </c>
      <c r="D19" s="50" t="n">
        <f aca="false">C19/SUM($C$8:$C$33)</f>
        <v>0.00597316392105411</v>
      </c>
      <c r="E19" s="44" t="n">
        <v>501</v>
      </c>
      <c r="F19" s="44" t="n">
        <v>719</v>
      </c>
      <c r="G19" s="44" t="n">
        <v>665</v>
      </c>
      <c r="H19" s="44" t="n">
        <v>731</v>
      </c>
      <c r="I19" s="50" t="n">
        <f aca="false">IF(F19+G19+H19+J19=0,0,H19/(F19+G19+H19+J19))</f>
        <v>0.236340122858067</v>
      </c>
      <c r="J19" s="44" t="n">
        <v>978</v>
      </c>
    </row>
    <row r="20" customFormat="false" ht="15" hidden="false" customHeight="true" outlineLevel="0" collapsed="false">
      <c r="B20" s="23" t="s">
        <v>200</v>
      </c>
      <c r="C20" s="45" t="n">
        <v>1176</v>
      </c>
      <c r="D20" s="50" t="n">
        <f aca="false">C20/SUM($C$8:$C$33)</f>
        <v>0.00507546298494193</v>
      </c>
      <c r="E20" s="44" t="n">
        <v>73</v>
      </c>
      <c r="F20" s="44" t="n">
        <v>110</v>
      </c>
      <c r="G20" s="44" t="n">
        <v>6</v>
      </c>
      <c r="H20" s="44" t="n">
        <v>904</v>
      </c>
      <c r="I20" s="50" t="n">
        <f aca="false">IF(F20+G20+H20+J20=0,0,H20/(F20+G20+H20+J20))</f>
        <v>0.886274509803922</v>
      </c>
      <c r="J20" s="44" t="n">
        <v>0</v>
      </c>
    </row>
    <row r="21" customFormat="false" ht="15" hidden="false" customHeight="true" outlineLevel="0" collapsed="false">
      <c r="B21" s="23" t="s">
        <v>201</v>
      </c>
      <c r="C21" s="45" t="n">
        <v>831</v>
      </c>
      <c r="D21" s="50" t="n">
        <f aca="false">C21/SUM($C$8:$C$33)</f>
        <v>0.00358648787456356</v>
      </c>
      <c r="E21" s="44" t="n">
        <v>98</v>
      </c>
      <c r="F21" s="44" t="n">
        <v>74</v>
      </c>
      <c r="G21" s="44" t="n">
        <v>9</v>
      </c>
      <c r="H21" s="44" t="n">
        <v>730</v>
      </c>
      <c r="I21" s="50" t="n">
        <f aca="false">IF(F21+G21+H21+J21=0,0,H21/(F21+G21+H21+J21))</f>
        <v>0.827664399092971</v>
      </c>
      <c r="J21" s="44" t="n">
        <v>69</v>
      </c>
    </row>
    <row r="22" customFormat="false" ht="15" hidden="false" customHeight="true" outlineLevel="0" collapsed="false">
      <c r="B22" s="23" t="s">
        <v>202</v>
      </c>
      <c r="C22" s="45" t="n">
        <v>400</v>
      </c>
      <c r="D22" s="50" t="n">
        <f aca="false">C22/SUM($C$8:$C$33)</f>
        <v>0.00172634795406188</v>
      </c>
      <c r="E22" s="44" t="n">
        <v>111</v>
      </c>
      <c r="F22" s="44" t="n">
        <v>138</v>
      </c>
      <c r="G22" s="44" t="n">
        <v>3</v>
      </c>
      <c r="H22" s="44" t="n">
        <v>433</v>
      </c>
      <c r="I22" s="50" t="n">
        <f aca="false">IF(F22+G22+H22+J22=0,0,H22/(F22+G22+H22+J22))</f>
        <v>0.754355400696864</v>
      </c>
      <c r="J22" s="44" t="n">
        <v>0</v>
      </c>
    </row>
    <row r="23" customFormat="false" ht="15" hidden="false" customHeight="true" outlineLevel="0" collapsed="false">
      <c r="B23" s="23" t="s">
        <v>203</v>
      </c>
      <c r="C23" s="45" t="n">
        <v>273</v>
      </c>
      <c r="D23" s="50" t="n">
        <f aca="false">C23/SUM($C$8:$C$33)</f>
        <v>0.00117823247864723</v>
      </c>
      <c r="E23" s="44" t="n">
        <v>2913</v>
      </c>
      <c r="F23" s="44" t="n">
        <v>1081</v>
      </c>
      <c r="G23" s="44" t="n">
        <v>23</v>
      </c>
      <c r="H23" s="44" t="n">
        <v>1212</v>
      </c>
      <c r="I23" s="50" t="n">
        <f aca="false">IF(F23+G23+H23+J23=0,0,H23/(F23+G23+H23+J23))</f>
        <v>0.523316062176166</v>
      </c>
      <c r="J23" s="44" t="n">
        <v>0</v>
      </c>
    </row>
    <row r="24" customFormat="false" ht="15" hidden="false" customHeight="true" outlineLevel="0" collapsed="false">
      <c r="B24" s="23" t="s">
        <v>204</v>
      </c>
      <c r="C24" s="45" t="n">
        <v>182</v>
      </c>
      <c r="D24" s="50" t="n">
        <f aca="false">C24/SUM($C$8:$C$33)</f>
        <v>0.000785488319098156</v>
      </c>
      <c r="E24" s="44" t="n">
        <v>49</v>
      </c>
      <c r="F24" s="44" t="n">
        <v>59</v>
      </c>
      <c r="G24" s="44" t="n">
        <v>2</v>
      </c>
      <c r="H24" s="44" t="n">
        <v>282</v>
      </c>
      <c r="I24" s="50" t="n">
        <f aca="false">IF(F24+G24+H24+J24=0,0,H24/(F24+G24+H24+J24))</f>
        <v>0.822157434402332</v>
      </c>
      <c r="J24" s="44" t="n">
        <v>0</v>
      </c>
    </row>
    <row r="25" customFormat="false" ht="15" hidden="false" customHeight="true" outlineLevel="0" collapsed="false">
      <c r="B25" s="23" t="s">
        <v>205</v>
      </c>
      <c r="C25" s="45" t="n">
        <v>168</v>
      </c>
      <c r="D25" s="50" t="n">
        <f aca="false">C25/SUM($C$8:$C$33)</f>
        <v>0.00072506614070599</v>
      </c>
      <c r="E25" s="44" t="n">
        <v>490</v>
      </c>
      <c r="F25" s="44" t="n">
        <v>325</v>
      </c>
      <c r="G25" s="44" t="n">
        <v>26</v>
      </c>
      <c r="H25" s="44" t="n">
        <v>1406</v>
      </c>
      <c r="I25" s="50" t="n">
        <f aca="false">IF(F25+G25+H25+J25=0,0,H25/(F25+G25+H25+J25))</f>
        <v>0.80022766078543</v>
      </c>
      <c r="J25" s="44" t="n">
        <v>0</v>
      </c>
    </row>
    <row r="26" customFormat="false" ht="15" hidden="false" customHeight="true" outlineLevel="0" collapsed="false">
      <c r="B26" s="23" t="s">
        <v>206</v>
      </c>
      <c r="C26" s="45" t="n">
        <v>160</v>
      </c>
      <c r="D26" s="50" t="n">
        <f aca="false">C26/SUM($C$8:$C$33)</f>
        <v>0.000690539181624752</v>
      </c>
      <c r="E26" s="44" t="n">
        <v>314</v>
      </c>
      <c r="F26" s="44" t="n">
        <v>29</v>
      </c>
      <c r="G26" s="44" t="n">
        <v>2</v>
      </c>
      <c r="H26" s="44" t="n">
        <v>57</v>
      </c>
      <c r="I26" s="50" t="n">
        <f aca="false">IF(F26+G26+H26+J26=0,0,H26/(F26+G26+H26+J26))</f>
        <v>0.647727272727273</v>
      </c>
      <c r="J26" s="44" t="n">
        <v>0</v>
      </c>
    </row>
    <row r="27" customFormat="false" ht="15" hidden="false" customHeight="true" outlineLevel="0" collapsed="false">
      <c r="B27" s="23" t="s">
        <v>207</v>
      </c>
      <c r="C27" s="45" t="n">
        <v>110</v>
      </c>
      <c r="D27" s="50" t="n">
        <f aca="false">C27/SUM($C$8:$C$33)</f>
        <v>0.000474745687367017</v>
      </c>
      <c r="E27" s="44" t="n">
        <v>311</v>
      </c>
      <c r="F27" s="44" t="n">
        <v>121</v>
      </c>
      <c r="G27" s="44" t="n">
        <v>2</v>
      </c>
      <c r="H27" s="44" t="n">
        <v>138</v>
      </c>
      <c r="I27" s="50" t="n">
        <f aca="false">IF(F27+G27+H27+J27=0,0,H27/(F27+G27+H27+J27))</f>
        <v>0.528735632183908</v>
      </c>
      <c r="J27" s="44" t="n">
        <v>0</v>
      </c>
    </row>
    <row r="28" customFormat="false" ht="15" hidden="false" customHeight="true" outlineLevel="0" collapsed="false">
      <c r="B28" s="23" t="s">
        <v>208</v>
      </c>
      <c r="C28" s="45" t="n">
        <v>63</v>
      </c>
      <c r="D28" s="50" t="n">
        <f aca="false">C28/SUM($C$8:$C$33)</f>
        <v>0.000271899802764746</v>
      </c>
      <c r="E28" s="44" t="n">
        <v>245</v>
      </c>
      <c r="F28" s="44" t="n">
        <v>103</v>
      </c>
      <c r="G28" s="44" t="n">
        <v>3</v>
      </c>
      <c r="H28" s="44" t="n">
        <v>67</v>
      </c>
      <c r="I28" s="50" t="n">
        <f aca="false">IF(F28+G28+H28+J28=0,0,H28/(F28+G28+H28+J28))</f>
        <v>0.38728323699422</v>
      </c>
      <c r="J28" s="44" t="n">
        <v>0</v>
      </c>
    </row>
    <row r="29" customFormat="false" ht="15" hidden="false" customHeight="true" outlineLevel="0" collapsed="false">
      <c r="B29" s="23" t="s">
        <v>209</v>
      </c>
      <c r="C29" s="45" t="n">
        <v>41</v>
      </c>
      <c r="D29" s="50" t="n">
        <f aca="false">C29/SUM($C$8:$C$33)</f>
        <v>0.000176950665291343</v>
      </c>
      <c r="E29" s="44" t="n">
        <v>111</v>
      </c>
      <c r="F29" s="44" t="n">
        <v>17</v>
      </c>
      <c r="G29" s="44" t="n">
        <v>2</v>
      </c>
      <c r="H29" s="44" t="n">
        <v>27</v>
      </c>
      <c r="I29" s="50" t="n">
        <f aca="false">IF(F29+G29+H29+J29=0,0,H29/(F29+G29+H29+J29))</f>
        <v>0.586956521739131</v>
      </c>
      <c r="J29" s="44" t="n">
        <v>0</v>
      </c>
    </row>
    <row r="30" customFormat="false" ht="15" hidden="false" customHeight="true" outlineLevel="0" collapsed="false">
      <c r="B30" s="23" t="s">
        <v>210</v>
      </c>
      <c r="C30" s="45" t="n">
        <v>23</v>
      </c>
      <c r="D30" s="50" t="n">
        <f aca="false">C30/SUM($C$8:$C$33)</f>
        <v>9.92650073585582E-005</v>
      </c>
      <c r="E30" s="44" t="n">
        <v>33</v>
      </c>
      <c r="F30" s="44" t="n">
        <v>11</v>
      </c>
      <c r="G30" s="44" t="n">
        <v>0</v>
      </c>
      <c r="H30" s="44" t="n">
        <v>17</v>
      </c>
      <c r="I30" s="50" t="n">
        <f aca="false">IF(F30+G30+H30+J30=0,0,H30/(F30+G30+H30+J30))</f>
        <v>0.607142857142857</v>
      </c>
      <c r="J30" s="44" t="n">
        <v>0</v>
      </c>
    </row>
    <row r="31" customFormat="false" ht="15" hidden="false" customHeight="true" outlineLevel="0" collapsed="false">
      <c r="B31" s="23" t="s">
        <v>211</v>
      </c>
      <c r="C31" s="45" t="n">
        <v>5</v>
      </c>
      <c r="D31" s="50" t="n">
        <f aca="false">C31/SUM($C$8:$C$33)</f>
        <v>2.15793494257735E-005</v>
      </c>
      <c r="E31" s="44" t="n">
        <v>52</v>
      </c>
      <c r="F31" s="44" t="n">
        <v>16</v>
      </c>
      <c r="G31" s="44" t="n">
        <v>0</v>
      </c>
      <c r="H31" s="44" t="n">
        <v>50</v>
      </c>
      <c r="I31" s="50" t="n">
        <f aca="false">IF(F31+G31+H31+J31=0,0,H31/(F31+G31+H31+J31))</f>
        <v>0.757575757575758</v>
      </c>
      <c r="J31" s="44" t="n">
        <v>0</v>
      </c>
    </row>
    <row r="32" customFormat="false" ht="15" hidden="false" customHeight="true" outlineLevel="0" collapsed="false">
      <c r="B32" s="23" t="s">
        <v>212</v>
      </c>
      <c r="C32" s="45" t="n">
        <v>1</v>
      </c>
      <c r="D32" s="50" t="n">
        <f aca="false">C32/SUM($C$8:$C$33)</f>
        <v>4.3158698851547E-006</v>
      </c>
      <c r="E32" s="44" t="n">
        <v>4</v>
      </c>
      <c r="F32" s="44" t="n">
        <v>1</v>
      </c>
      <c r="G32" s="44" t="n">
        <v>0</v>
      </c>
      <c r="H32" s="44" t="n">
        <v>1</v>
      </c>
      <c r="I32" s="50" t="n">
        <f aca="false">IF(F32+G32+H32+J32=0,0,H32/(F32+G32+H32+J32))</f>
        <v>0.5</v>
      </c>
      <c r="J32" s="44" t="n">
        <v>0</v>
      </c>
    </row>
    <row r="33" customFormat="false" ht="15" hidden="false" customHeight="true" outlineLevel="0" collapsed="false">
      <c r="B33" s="23" t="s">
        <v>213</v>
      </c>
      <c r="C33" s="45" t="n">
        <v>1</v>
      </c>
      <c r="D33" s="50" t="n">
        <f aca="false">C33/SUM($C$8:$C$33)</f>
        <v>4.3158698851547E-006</v>
      </c>
      <c r="E33" s="44" t="n">
        <v>3</v>
      </c>
      <c r="F33" s="44" t="n">
        <v>0</v>
      </c>
      <c r="G33" s="44" t="n">
        <v>0</v>
      </c>
      <c r="H33" s="44" t="n">
        <v>0</v>
      </c>
      <c r="I33" s="50" t="n">
        <f aca="false">IF(F33+G33+H33+J33=0,0,H33/(F33+G33+H33+J33))</f>
        <v>0</v>
      </c>
      <c r="J33" s="44" t="n">
        <v>0</v>
      </c>
    </row>
    <row r="35" customFormat="false" ht="15" hidden="false" customHeight="true" outlineLevel="0" collapsed="false">
      <c r="B35" s="12" t="s">
        <v>214</v>
      </c>
      <c r="C35" s="46" t="n">
        <f aca="false">SUM(C8:C33)</f>
        <v>231703</v>
      </c>
      <c r="I35" s="48" t="n">
        <f aca="false">SUMPRODUCT(H8:H33)/SUMPRODUCT(F8:F33+G8:G33+H8:H33+J8:J33)</f>
        <v>0.835044116362366</v>
      </c>
    </row>
    <row r="36" customFormat="false" ht="15" hidden="false" customHeight="true" outlineLevel="0" collapsed="false">
      <c r="B36" s="23" t="s">
        <v>215</v>
      </c>
      <c r="C36" s="48" t="n">
        <f aca="false">SUMIF(B8:B33,"*claude*",C8:C33)/C35</f>
        <v>0.88548702433719</v>
      </c>
    </row>
    <row r="37" customFormat="false" ht="15" hidden="false" customHeight="true" outlineLevel="0" collapsed="false">
      <c r="B37" s="23" t="s">
        <v>216</v>
      </c>
      <c r="C37" s="48" t="n">
        <f aca="false">(LARGE(C8:C33,1)+LARGE(C8:C33,2))/C35</f>
        <v>0.692593535690086</v>
      </c>
    </row>
    <row r="38" customFormat="false" ht="15" hidden="false" customHeight="true" outlineLevel="0" collapsed="false">
      <c r="B38" s="12" t="s">
        <v>217</v>
      </c>
      <c r="C38" s="57" t="s">
        <v>218</v>
      </c>
    </row>
    <row r="40" customFormat="false" ht="15" hidden="false" customHeight="true" outlineLevel="0" collapsed="false">
      <c r="B40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62"/>
  </cols>
  <sheetData>
    <row r="2" customFormat="false" ht="15" hidden="false" customHeight="true" outlineLevel="0" collapsed="false">
      <c r="B2" s="20" t="s">
        <v>219</v>
      </c>
    </row>
    <row r="4" customFormat="false" ht="21.75" hidden="false" customHeight="true" outlineLevel="0" collapsed="false">
      <c r="B4" s="21" t="s">
        <v>220</v>
      </c>
    </row>
    <row r="5" customFormat="false" ht="15" hidden="false" customHeight="true" outlineLevel="0" collapsed="false">
      <c r="B5" s="22" t="s">
        <v>221</v>
      </c>
    </row>
    <row r="7" customFormat="false" ht="21.75" hidden="false" customHeight="true" outlineLevel="0" collapsed="false">
      <c r="B7" s="14" t="s">
        <v>222</v>
      </c>
      <c r="C7" s="14" t="s">
        <v>223</v>
      </c>
      <c r="D7" s="14" t="s">
        <v>224</v>
      </c>
      <c r="E7" s="14" t="s">
        <v>225</v>
      </c>
      <c r="F7" s="14" t="s">
        <v>95</v>
      </c>
    </row>
    <row r="8" customFormat="false" ht="15" hidden="false" customHeight="true" outlineLevel="0" collapsed="false">
      <c r="B8" s="12" t="s">
        <v>226</v>
      </c>
      <c r="C8" s="41" t="n">
        <v>0.06</v>
      </c>
      <c r="D8" s="18" t="s">
        <v>227</v>
      </c>
      <c r="E8" s="18" t="s">
        <v>228</v>
      </c>
      <c r="F8" s="37" t="s">
        <v>229</v>
      </c>
    </row>
    <row r="9" customFormat="false" ht="15" hidden="false" customHeight="true" outlineLevel="0" collapsed="false">
      <c r="B9" s="12" t="s">
        <v>230</v>
      </c>
      <c r="C9" s="41" t="n">
        <v>0.1</v>
      </c>
      <c r="D9" s="18" t="s">
        <v>231</v>
      </c>
      <c r="E9" s="18" t="s">
        <v>232</v>
      </c>
      <c r="F9" s="37" t="s">
        <v>233</v>
      </c>
    </row>
    <row r="10" customFormat="false" ht="15" hidden="false" customHeight="true" outlineLevel="0" collapsed="false">
      <c r="B10" s="12" t="s">
        <v>234</v>
      </c>
      <c r="C10" s="41" t="n">
        <v>0.02</v>
      </c>
      <c r="D10" s="18" t="s">
        <v>235</v>
      </c>
      <c r="E10" s="18" t="s">
        <v>236</v>
      </c>
      <c r="F10" s="37" t="s">
        <v>237</v>
      </c>
    </row>
    <row r="11" customFormat="false" ht="15" hidden="false" customHeight="true" outlineLevel="0" collapsed="false">
      <c r="B11" s="12" t="s">
        <v>238</v>
      </c>
      <c r="C11" s="41" t="n">
        <v>0.08</v>
      </c>
      <c r="D11" s="18" t="s">
        <v>239</v>
      </c>
      <c r="E11" s="18" t="s">
        <v>240</v>
      </c>
      <c r="F11" s="37" t="s">
        <v>241</v>
      </c>
    </row>
    <row r="12" customFormat="false" ht="15" hidden="false" customHeight="true" outlineLevel="0" collapsed="false">
      <c r="B12" s="12" t="s">
        <v>242</v>
      </c>
      <c r="C12" s="41" t="n">
        <v>0.06</v>
      </c>
      <c r="D12" s="18" t="s">
        <v>239</v>
      </c>
      <c r="E12" s="18" t="s">
        <v>243</v>
      </c>
      <c r="F12" s="37" t="s">
        <v>244</v>
      </c>
    </row>
    <row r="13" customFormat="false" ht="15" hidden="false" customHeight="true" outlineLevel="0" collapsed="false">
      <c r="B13" s="12" t="s">
        <v>245</v>
      </c>
      <c r="C13" s="41" t="n">
        <v>0.03</v>
      </c>
      <c r="D13" s="18" t="s">
        <v>246</v>
      </c>
      <c r="E13" s="18" t="s">
        <v>247</v>
      </c>
      <c r="F13" s="37" t="s">
        <v>248</v>
      </c>
    </row>
    <row r="14" customFormat="false" ht="15" hidden="false" customHeight="true" outlineLevel="0" collapsed="false">
      <c r="B14" s="12" t="s">
        <v>249</v>
      </c>
      <c r="C14" s="41" t="n">
        <v>0</v>
      </c>
      <c r="D14" s="18" t="s">
        <v>250</v>
      </c>
      <c r="E14" s="18" t="s">
        <v>251</v>
      </c>
      <c r="F14" s="37" t="s">
        <v>252</v>
      </c>
    </row>
    <row r="17" customFormat="false" ht="15" hidden="false" customHeight="true" outlineLevel="0" collapsed="false">
      <c r="B17" s="9" t="s">
        <v>253</v>
      </c>
    </row>
    <row r="18" customFormat="false" ht="15" hidden="false" customHeight="true" outlineLevel="0" collapsed="false">
      <c r="B18" s="23" t="s">
        <v>254</v>
      </c>
      <c r="C18" s="48" t="n">
        <f aca="false">1-(1-C8)*(1-C9)*(1-C10)*(1-C11)*(1-C12)*(1-C13)*(1-C14)</f>
        <v>0.30452126752</v>
      </c>
    </row>
    <row r="19" customFormat="false" ht="15" hidden="false" customHeight="true" outlineLevel="0" collapsed="false">
      <c r="B19" s="23" t="s">
        <v>255</v>
      </c>
      <c r="C19" s="46" t="n">
        <f aca="false">MAX(0,'Client Intake'!C14*(1-C18)-Engine!C14)</f>
        <v>33896.2042305459</v>
      </c>
    </row>
    <row r="20" customFormat="false" ht="15" hidden="false" customHeight="true" outlineLevel="0" collapsed="false">
      <c r="B20" s="23" t="s">
        <v>256</v>
      </c>
      <c r="C20" s="49" t="n">
        <f aca="false">Engine!C16-C19</f>
        <v>70558.7957694541</v>
      </c>
    </row>
    <row r="21" customFormat="false" ht="15" hidden="false" customHeight="true" outlineLevel="0" collapsed="false">
      <c r="B21" s="23" t="s">
        <v>257</v>
      </c>
      <c r="C21" s="46" t="n">
        <f aca="false">C20*12</f>
        <v>846705.54923345</v>
      </c>
    </row>
    <row r="22" customFormat="false" ht="15" hidden="false" customHeight="true" outlineLevel="0" collapsed="false">
      <c r="B22" s="23" t="s">
        <v>258</v>
      </c>
      <c r="C22" s="50" t="n">
        <f aca="false">IF(Engine!C16=0,0,(Engine!C16-C19)/Engine!C16)</f>
        <v>0.675494670139813</v>
      </c>
    </row>
    <row r="23" customFormat="false" ht="15" hidden="false" customHeight="true" outlineLevel="0" collapsed="false">
      <c r="B23" s="23" t="s">
        <v>259</v>
      </c>
      <c r="C23" s="46" t="n">
        <f aca="false">'Forecast FY27'!F22</f>
        <v>494617.158343873</v>
      </c>
    </row>
    <row r="25" customFormat="false" ht="15" hidden="false" customHeight="true" outlineLevel="0" collapsed="false">
      <c r="B25" s="37" t="s">
        <v>260</v>
      </c>
    </row>
    <row r="27" customFormat="false" ht="15" hidden="false" customHeight="true" outlineLevel="0" collapsed="false">
      <c r="B27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26"/>
  </cols>
  <sheetData>
    <row r="2" customFormat="false" ht="15" hidden="false" customHeight="true" outlineLevel="0" collapsed="false">
      <c r="B2" s="43" t="s">
        <v>25</v>
      </c>
    </row>
    <row r="4" customFormat="false" ht="21.75" hidden="false" customHeight="true" outlineLevel="0" collapsed="false">
      <c r="B4" s="21" t="s">
        <v>261</v>
      </c>
    </row>
    <row r="5" customFormat="false" ht="15" hidden="false" customHeight="true" outlineLevel="0" collapsed="false">
      <c r="B5" s="22" t="s">
        <v>262</v>
      </c>
    </row>
    <row r="7" customFormat="false" ht="21.75" hidden="false" customHeight="true" outlineLevel="0" collapsed="false">
      <c r="B7" s="14" t="s">
        <v>153</v>
      </c>
      <c r="C7" s="14" t="s">
        <v>263</v>
      </c>
      <c r="D7" s="14" t="s">
        <v>264</v>
      </c>
      <c r="E7" s="14" t="s">
        <v>265</v>
      </c>
      <c r="F7" s="14" t="s">
        <v>266</v>
      </c>
      <c r="G7" s="14" t="s">
        <v>267</v>
      </c>
      <c r="H7" s="14" t="s">
        <v>268</v>
      </c>
      <c r="I7" s="14" t="s">
        <v>269</v>
      </c>
    </row>
    <row r="9" customFormat="false" ht="15" hidden="false" customHeight="true" outlineLevel="0" collapsed="false">
      <c r="B9" s="37" t="s">
        <v>270</v>
      </c>
    </row>
    <row r="10" customFormat="false" ht="15" hidden="false" customHeight="true" outlineLevel="0" collapsed="false">
      <c r="B10" s="23" t="s">
        <v>271</v>
      </c>
      <c r="C10" s="41" t="n">
        <v>0</v>
      </c>
      <c r="D10" s="49" t="n">
        <f aca="false">IF(ROW()-10&lt;'Client Intake'!C16,Engine!$C$17,Engine!$C$16)</f>
        <v>10254</v>
      </c>
      <c r="E10" s="49" t="n">
        <f aca="false">MAX(0,'Client Intake'!$C$14*(1-C10*Simulator!$C$18)-IF(ROW()-10&lt;'Client Intake'!$C$16,Engine!$C$15,Engine!$C$14))</f>
        <v>10254</v>
      </c>
      <c r="F10" s="49" t="n">
        <f aca="false">D10-E10</f>
        <v>0</v>
      </c>
      <c r="G10" s="49" t="n">
        <f aca="false">SUM($F$10:F10)</f>
        <v>0</v>
      </c>
      <c r="H10" s="49" t="n">
        <f aca="false">Engine!$C$13+D10</f>
        <v>137503</v>
      </c>
      <c r="I10" s="49" t="n">
        <f aca="false">Engine!$C$13+E10</f>
        <v>137503</v>
      </c>
    </row>
    <row r="11" customFormat="false" ht="15" hidden="false" customHeight="true" outlineLevel="0" collapsed="false">
      <c r="B11" s="23" t="s">
        <v>272</v>
      </c>
      <c r="C11" s="41" t="n">
        <v>0.05</v>
      </c>
      <c r="D11" s="49" t="n">
        <f aca="false">IF(ROW()-10&lt;'Client Intake'!C16,Engine!$C$17,Engine!$C$16)</f>
        <v>10254</v>
      </c>
      <c r="E11" s="49" t="n">
        <f aca="false">MAX(0,'Client Intake'!$C$14*(1-C11*Simulator!$C$18)-IF(ROW()-10&lt;'Client Intake'!$C$16,Engine!$C$15,Engine!$C$14))</f>
        <v>6726.06021152731</v>
      </c>
      <c r="F11" s="49" t="n">
        <f aca="false">D11-E11</f>
        <v>3527.93978847269</v>
      </c>
      <c r="G11" s="49" t="n">
        <f aca="false">SUM($F$10:F11)</f>
        <v>3527.93978847269</v>
      </c>
      <c r="H11" s="49" t="n">
        <f aca="false">Engine!$C$13+D11</f>
        <v>137503</v>
      </c>
      <c r="I11" s="49" t="n">
        <f aca="false">Engine!$C$13+E11</f>
        <v>133975.060211527</v>
      </c>
    </row>
    <row r="12" customFormat="false" ht="15" hidden="false" customHeight="true" outlineLevel="0" collapsed="false">
      <c r="B12" s="23" t="s">
        <v>273</v>
      </c>
      <c r="C12" s="41" t="n">
        <v>0.15</v>
      </c>
      <c r="D12" s="49" t="n">
        <f aca="false">IF(ROW()-10&lt;'Client Intake'!C16,Engine!$C$17,Engine!$C$16)</f>
        <v>104455</v>
      </c>
      <c r="E12" s="49" t="n">
        <f aca="false">MAX(0,'Client Intake'!$C$14*(1-C12*Simulator!$C$18)-IF(ROW()-10&lt;'Client Intake'!$C$16,Engine!$C$15,Engine!$C$14))</f>
        <v>93871.1806345819</v>
      </c>
      <c r="F12" s="49" t="n">
        <f aca="false">D12-E12</f>
        <v>10583.8193654181</v>
      </c>
      <c r="G12" s="49" t="n">
        <f aca="false">SUM($F$10:F12)</f>
        <v>14111.7591538908</v>
      </c>
      <c r="H12" s="49" t="n">
        <f aca="false">Engine!$C$13+D12</f>
        <v>231704</v>
      </c>
      <c r="I12" s="49" t="n">
        <f aca="false">Engine!$C$13+E12</f>
        <v>221120.180634582</v>
      </c>
    </row>
    <row r="13" customFormat="false" ht="15" hidden="false" customHeight="true" outlineLevel="0" collapsed="false">
      <c r="B13" s="23" t="s">
        <v>274</v>
      </c>
      <c r="C13" s="41" t="n">
        <v>0.3</v>
      </c>
      <c r="D13" s="49" t="n">
        <f aca="false">IF(ROW()-10&lt;'Client Intake'!C16,Engine!$C$17,Engine!$C$16)</f>
        <v>104455</v>
      </c>
      <c r="E13" s="49" t="n">
        <f aca="false">MAX(0,'Client Intake'!$C$14*(1-C13*Simulator!$C$18)-IF(ROW()-10&lt;'Client Intake'!$C$16,Engine!$C$15,Engine!$C$14))</f>
        <v>83287.3612691638</v>
      </c>
      <c r="F13" s="49" t="n">
        <f aca="false">D13-E13</f>
        <v>21167.6387308362</v>
      </c>
      <c r="G13" s="49" t="n">
        <f aca="false">SUM($F$10:F13)</f>
        <v>35279.397884727</v>
      </c>
      <c r="H13" s="49" t="n">
        <f aca="false">Engine!$C$13+D13</f>
        <v>231704</v>
      </c>
      <c r="I13" s="49" t="n">
        <f aca="false">Engine!$C$13+E13</f>
        <v>210536.361269164</v>
      </c>
    </row>
    <row r="14" customFormat="false" ht="15" hidden="false" customHeight="true" outlineLevel="0" collapsed="false">
      <c r="B14" s="23" t="s">
        <v>275</v>
      </c>
      <c r="C14" s="41" t="n">
        <v>0.45</v>
      </c>
      <c r="D14" s="49" t="n">
        <f aca="false">IF(ROW()-10&lt;'Client Intake'!C16,Engine!$C$17,Engine!$C$16)</f>
        <v>104455</v>
      </c>
      <c r="E14" s="49" t="n">
        <f aca="false">MAX(0,'Client Intake'!$C$14*(1-C14*Simulator!$C$18)-IF(ROW()-10&lt;'Client Intake'!$C$16,Engine!$C$15,Engine!$C$14))</f>
        <v>72703.5419037456</v>
      </c>
      <c r="F14" s="49" t="n">
        <f aca="false">D14-E14</f>
        <v>31751.4580962544</v>
      </c>
      <c r="G14" s="49" t="n">
        <f aca="false">SUM($F$10:F14)</f>
        <v>67030.8559809814</v>
      </c>
      <c r="H14" s="49" t="n">
        <f aca="false">Engine!$C$13+D14</f>
        <v>231704</v>
      </c>
      <c r="I14" s="49" t="n">
        <f aca="false">Engine!$C$13+E14</f>
        <v>199952.541903746</v>
      </c>
    </row>
    <row r="15" customFormat="false" ht="15" hidden="false" customHeight="true" outlineLevel="0" collapsed="false">
      <c r="B15" s="23" t="s">
        <v>276</v>
      </c>
      <c r="C15" s="41" t="n">
        <v>0.6</v>
      </c>
      <c r="D15" s="49" t="n">
        <f aca="false">IF(ROW()-10&lt;'Client Intake'!C16,Engine!$C$17,Engine!$C$16)</f>
        <v>104455</v>
      </c>
      <c r="E15" s="49" t="n">
        <f aca="false">MAX(0,'Client Intake'!$C$14*(1-C15*Simulator!$C$18)-IF(ROW()-10&lt;'Client Intake'!$C$16,Engine!$C$15,Engine!$C$14))</f>
        <v>62119.7225383275</v>
      </c>
      <c r="F15" s="49" t="n">
        <f aca="false">D15-E15</f>
        <v>42335.2774616725</v>
      </c>
      <c r="G15" s="49" t="n">
        <f aca="false">SUM($F$10:F15)</f>
        <v>109366.133442654</v>
      </c>
      <c r="H15" s="49" t="n">
        <f aca="false">Engine!$C$13+D15</f>
        <v>231704</v>
      </c>
      <c r="I15" s="49" t="n">
        <f aca="false">Engine!$C$13+E15</f>
        <v>189368.722538328</v>
      </c>
    </row>
    <row r="16" customFormat="false" ht="15" hidden="false" customHeight="true" outlineLevel="0" collapsed="false">
      <c r="B16" s="23" t="s">
        <v>277</v>
      </c>
      <c r="C16" s="41" t="n">
        <v>0.75</v>
      </c>
      <c r="D16" s="49" t="n">
        <f aca="false">IF(ROW()-10&lt;'Client Intake'!C16,Engine!$C$17,Engine!$C$16)</f>
        <v>104455</v>
      </c>
      <c r="E16" s="49" t="n">
        <f aca="false">MAX(0,'Client Intake'!$C$14*(1-C16*Simulator!$C$18)-IF(ROW()-10&lt;'Client Intake'!$C$16,Engine!$C$15,Engine!$C$14))</f>
        <v>51535.9031729094</v>
      </c>
      <c r="F16" s="49" t="n">
        <f aca="false">D16-E16</f>
        <v>52919.0968270906</v>
      </c>
      <c r="G16" s="49" t="n">
        <f aca="false">SUM($F$10:F16)</f>
        <v>162285.230269744</v>
      </c>
      <c r="H16" s="49" t="n">
        <f aca="false">Engine!$C$13+D16</f>
        <v>231704</v>
      </c>
      <c r="I16" s="49" t="n">
        <f aca="false">Engine!$C$13+E16</f>
        <v>178784.903172909</v>
      </c>
    </row>
    <row r="17" customFormat="false" ht="15" hidden="false" customHeight="true" outlineLevel="0" collapsed="false">
      <c r="B17" s="23" t="s">
        <v>278</v>
      </c>
      <c r="C17" s="41" t="n">
        <v>0.85</v>
      </c>
      <c r="D17" s="49" t="n">
        <f aca="false">IF(ROW()-10&lt;'Client Intake'!C16,Engine!$C$17,Engine!$C$16)</f>
        <v>104455</v>
      </c>
      <c r="E17" s="49" t="n">
        <f aca="false">MAX(0,'Client Intake'!$C$14*(1-C17*Simulator!$C$18)-IF(ROW()-10&lt;'Client Intake'!$C$16,Engine!$C$15,Engine!$C$14))</f>
        <v>44480.023595964</v>
      </c>
      <c r="F17" s="49" t="n">
        <f aca="false">D17-E17</f>
        <v>59974.976404036</v>
      </c>
      <c r="G17" s="49" t="n">
        <f aca="false">SUM($F$10:F17)</f>
        <v>222260.20667378</v>
      </c>
      <c r="H17" s="49" t="n">
        <f aca="false">Engine!$C$13+D17</f>
        <v>231704</v>
      </c>
      <c r="I17" s="49" t="n">
        <f aca="false">Engine!$C$13+E17</f>
        <v>171729.023595964</v>
      </c>
    </row>
    <row r="18" customFormat="false" ht="15" hidden="false" customHeight="true" outlineLevel="0" collapsed="false">
      <c r="B18" s="23" t="s">
        <v>279</v>
      </c>
      <c r="C18" s="41" t="n">
        <v>0.92</v>
      </c>
      <c r="D18" s="49" t="n">
        <f aca="false">IF(ROW()-10&lt;'Client Intake'!C16,Engine!$C$17,Engine!$C$16)</f>
        <v>104455</v>
      </c>
      <c r="E18" s="49" t="n">
        <f aca="false">MAX(0,'Client Intake'!$C$14*(1-C18*Simulator!$C$18)-IF(ROW()-10&lt;'Client Intake'!$C$16,Engine!$C$15,Engine!$C$14))</f>
        <v>39540.9078921022</v>
      </c>
      <c r="F18" s="49" t="n">
        <f aca="false">D18-E18</f>
        <v>64914.0921078978</v>
      </c>
      <c r="G18" s="49" t="n">
        <f aca="false">SUM($F$10:F18)</f>
        <v>287174.298781678</v>
      </c>
      <c r="H18" s="49" t="n">
        <f aca="false">Engine!$C$13+D18</f>
        <v>231704</v>
      </c>
      <c r="I18" s="49" t="n">
        <f aca="false">Engine!$C$13+E18</f>
        <v>166789.907892102</v>
      </c>
    </row>
    <row r="19" customFormat="false" ht="15" hidden="false" customHeight="true" outlineLevel="0" collapsed="false">
      <c r="B19" s="23" t="s">
        <v>280</v>
      </c>
      <c r="C19" s="41" t="n">
        <v>0.96</v>
      </c>
      <c r="D19" s="49" t="n">
        <f aca="false">IF(ROW()-10&lt;'Client Intake'!C16,Engine!$C$17,Engine!$C$16)</f>
        <v>104455</v>
      </c>
      <c r="E19" s="49" t="n">
        <f aca="false">MAX(0,'Client Intake'!$C$14*(1-C19*Simulator!$C$18)-IF(ROW()-10&lt;'Client Intake'!$C$16,Engine!$C$15,Engine!$C$14))</f>
        <v>36718.556061324</v>
      </c>
      <c r="F19" s="49" t="n">
        <f aca="false">D19-E19</f>
        <v>67736.443938676</v>
      </c>
      <c r="G19" s="49" t="n">
        <f aca="false">SUM($F$10:F19)</f>
        <v>354910.742720354</v>
      </c>
      <c r="H19" s="49" t="n">
        <f aca="false">Engine!$C$13+D19</f>
        <v>231704</v>
      </c>
      <c r="I19" s="49" t="n">
        <f aca="false">Engine!$C$13+E19</f>
        <v>163967.556061324</v>
      </c>
    </row>
    <row r="20" customFormat="false" ht="15" hidden="false" customHeight="true" outlineLevel="0" collapsed="false">
      <c r="B20" s="23" t="s">
        <v>281</v>
      </c>
      <c r="C20" s="41" t="n">
        <v>0.98</v>
      </c>
      <c r="D20" s="49" t="n">
        <f aca="false">IF(ROW()-10&lt;'Client Intake'!C16,Engine!$C$17,Engine!$C$16)</f>
        <v>104455</v>
      </c>
      <c r="E20" s="49" t="n">
        <f aca="false">MAX(0,'Client Intake'!$C$14*(1-C20*Simulator!$C$18)-IF(ROW()-10&lt;'Client Intake'!$C$16,Engine!$C$15,Engine!$C$14))</f>
        <v>35307.3801459349</v>
      </c>
      <c r="F20" s="49" t="n">
        <f aca="false">D20-E20</f>
        <v>69147.6198540651</v>
      </c>
      <c r="G20" s="49" t="n">
        <f aca="false">SUM($F$10:F20)</f>
        <v>424058.362574419</v>
      </c>
      <c r="H20" s="49" t="n">
        <f aca="false">Engine!$C$13+D20</f>
        <v>231704</v>
      </c>
      <c r="I20" s="49" t="n">
        <f aca="false">Engine!$C$13+E20</f>
        <v>162556.380145935</v>
      </c>
    </row>
    <row r="21" customFormat="false" ht="15" hidden="false" customHeight="true" outlineLevel="0" collapsed="false">
      <c r="B21" s="23" t="s">
        <v>282</v>
      </c>
      <c r="C21" s="41" t="n">
        <v>1</v>
      </c>
      <c r="D21" s="49" t="n">
        <f aca="false">IF(ROW()-10&lt;'Client Intake'!C16,Engine!$C$17,Engine!$C$16)</f>
        <v>104455</v>
      </c>
      <c r="E21" s="49" t="n">
        <f aca="false">MAX(0,'Client Intake'!$C$14*(1-C21*Simulator!$C$18)-IF(ROW()-10&lt;'Client Intake'!$C$16,Engine!$C$15,Engine!$C$14))</f>
        <v>33896.2042305459</v>
      </c>
      <c r="F21" s="49" t="n">
        <f aca="false">D21-E21</f>
        <v>70558.7957694541</v>
      </c>
      <c r="G21" s="49" t="n">
        <f aca="false">SUM($F$10:F21)</f>
        <v>494617.158343873</v>
      </c>
      <c r="H21" s="49" t="n">
        <f aca="false">Engine!$C$13+D21</f>
        <v>231704</v>
      </c>
      <c r="I21" s="49" t="n">
        <f aca="false">Engine!$C$13+E21</f>
        <v>161145.204230546</v>
      </c>
    </row>
    <row r="22" customFormat="false" ht="15" hidden="false" customHeight="true" outlineLevel="0" collapsed="false">
      <c r="B22" s="12" t="s">
        <v>283</v>
      </c>
      <c r="D22" s="46" t="n">
        <f aca="false">SUM(D10:D21)</f>
        <v>1065058</v>
      </c>
      <c r="E22" s="46" t="n">
        <f aca="false">SUM(E10:E21)</f>
        <v>570440.841656127</v>
      </c>
      <c r="F22" s="46" t="n">
        <f aca="false">SUM(F10:F21)</f>
        <v>494617.158343873</v>
      </c>
      <c r="H22" s="46" t="n">
        <f aca="false">SUM(H10:H21)</f>
        <v>2592046</v>
      </c>
      <c r="I22" s="46" t="n">
        <f aca="false">SUM(I10:I21)</f>
        <v>2097428.84165613</v>
      </c>
    </row>
    <row r="24" customFormat="false" ht="15" hidden="false" customHeight="true" outlineLevel="0" collapsed="false">
      <c r="B24" s="12" t="s">
        <v>284</v>
      </c>
      <c r="C24" s="37" t="s">
        <v>285</v>
      </c>
    </row>
    <row r="26" customFormat="false" ht="15" hidden="false" customHeight="true" outlineLevel="0" collapsed="false">
      <c r="B26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66"/>
  </cols>
  <sheetData>
    <row r="2" customFormat="false" ht="15" hidden="false" customHeight="true" outlineLevel="0" collapsed="false">
      <c r="B2" s="52" t="s">
        <v>25</v>
      </c>
    </row>
    <row r="4" customFormat="false" ht="21.75" hidden="false" customHeight="true" outlineLevel="0" collapsed="false">
      <c r="B4" s="21" t="s">
        <v>286</v>
      </c>
    </row>
    <row r="5" customFormat="false" ht="15" hidden="false" customHeight="true" outlineLevel="0" collapsed="false">
      <c r="B5" s="22" t="s">
        <v>287</v>
      </c>
    </row>
    <row r="7" customFormat="false" ht="15" hidden="false" customHeight="true" outlineLevel="0" collapsed="false">
      <c r="B7" s="54" t="s">
        <v>288</v>
      </c>
    </row>
    <row r="8" customFormat="false" ht="15" hidden="false" customHeight="true" outlineLevel="0" collapsed="false">
      <c r="B8" s="23" t="s">
        <v>289</v>
      </c>
      <c r="C8" s="41" t="n">
        <v>0.15</v>
      </c>
      <c r="D8" s="37" t="s">
        <v>290</v>
      </c>
    </row>
    <row r="9" customFormat="false" ht="15" hidden="false" customHeight="true" outlineLevel="0" collapsed="false">
      <c r="B9" s="23" t="s">
        <v>291</v>
      </c>
      <c r="C9" s="41" t="n">
        <v>0.2</v>
      </c>
      <c r="D9" s="37" t="s">
        <v>292</v>
      </c>
    </row>
    <row r="11" customFormat="false" ht="15" hidden="false" customHeight="true" outlineLevel="0" collapsed="false">
      <c r="B11" s="14" t="s">
        <v>140</v>
      </c>
      <c r="C11" s="14" t="s">
        <v>293</v>
      </c>
      <c r="D11" s="14" t="s">
        <v>294</v>
      </c>
      <c r="E11" s="14" t="s">
        <v>295</v>
      </c>
    </row>
    <row r="12" customFormat="false" ht="15" hidden="false" customHeight="true" outlineLevel="0" collapsed="false">
      <c r="B12" s="12" t="s">
        <v>296</v>
      </c>
      <c r="C12" s="46" t="n">
        <f aca="false">'Forecast FY27'!H22</f>
        <v>2592046</v>
      </c>
      <c r="D12" s="49" t="n">
        <f aca="false">0</f>
        <v>0</v>
      </c>
      <c r="E12" s="37" t="s">
        <v>297</v>
      </c>
    </row>
    <row r="13" customFormat="false" ht="15" hidden="false" customHeight="true" outlineLevel="0" collapsed="false">
      <c r="B13" s="12" t="s">
        <v>298</v>
      </c>
      <c r="C13" s="46" t="n">
        <f aca="false">'Forecast FY27'!H22-'Forecast FY27'!D22*C8</f>
        <v>2432287.3</v>
      </c>
      <c r="D13" s="49" t="n">
        <f aca="false">C12-C13</f>
        <v>159758.7</v>
      </c>
      <c r="E13" s="37" t="s">
        <v>299</v>
      </c>
    </row>
    <row r="14" customFormat="false" ht="15" hidden="false" customHeight="true" outlineLevel="0" collapsed="false">
      <c r="B14" s="12" t="s">
        <v>300</v>
      </c>
      <c r="C14" s="46" t="n">
        <f aca="false">'Forecast FY27'!H22-'Forecast FY27'!D22*C9</f>
        <v>2379034.4</v>
      </c>
      <c r="D14" s="49" t="n">
        <f aca="false">C12-C14</f>
        <v>213011.6</v>
      </c>
      <c r="E14" s="37" t="s">
        <v>301</v>
      </c>
    </row>
    <row r="15" customFormat="false" ht="15" hidden="false" customHeight="true" outlineLevel="0" collapsed="false">
      <c r="B15" s="12" t="s">
        <v>302</v>
      </c>
      <c r="C15" s="46" t="n">
        <f aca="false">'Forecast FY27'!I22-'Forecast FY27'!E22*C9</f>
        <v>1983340.6733249</v>
      </c>
      <c r="D15" s="49" t="n">
        <f aca="false">C12-C15</f>
        <v>608705.326675099</v>
      </c>
      <c r="E15" s="37" t="s">
        <v>303</v>
      </c>
    </row>
    <row r="17" customFormat="false" ht="15" hidden="false" customHeight="true" outlineLevel="0" collapsed="false">
      <c r="B17" s="54" t="s">
        <v>304</v>
      </c>
    </row>
    <row r="18" customFormat="false" ht="15" hidden="false" customHeight="true" outlineLevel="0" collapsed="false">
      <c r="B18" s="23" t="s">
        <v>305</v>
      </c>
      <c r="C18" s="49" t="n">
        <f aca="false">'Forecast FY27'!E22*C9</f>
        <v>114088.168331225</v>
      </c>
      <c r="D18" s="37" t="s">
        <v>306</v>
      </c>
    </row>
    <row r="19" customFormat="false" ht="15" hidden="false" customHeight="true" outlineLevel="0" collapsed="false">
      <c r="B19" s="23" t="s">
        <v>307</v>
      </c>
      <c r="C19" s="49" t="n">
        <f aca="false">'Forecast FY27'!F22</f>
        <v>494617.158343873</v>
      </c>
      <c r="D19" s="37" t="s">
        <v>308</v>
      </c>
    </row>
    <row r="20" customFormat="false" ht="15" hidden="false" customHeight="true" outlineLevel="0" collapsed="false">
      <c r="B20" s="23" t="s">
        <v>309</v>
      </c>
      <c r="C20" s="46" t="n">
        <f aca="false">C18+C19</f>
        <v>608705.326675099</v>
      </c>
      <c r="D20" s="37" t="s">
        <v>310</v>
      </c>
    </row>
    <row r="23" customFormat="false" ht="15" hidden="false" customHeight="true" outlineLevel="0" collapsed="false">
      <c r="B23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4"/>
    <col collapsed="false" customWidth="true" hidden="false" outlineLevel="0" max="4" min="4" style="1" width="58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24"/>
  </cols>
  <sheetData>
    <row r="2" customFormat="false" ht="15" hidden="false" customHeight="true" outlineLevel="0" collapsed="false">
      <c r="B2" s="43" t="s">
        <v>28</v>
      </c>
    </row>
    <row r="4" customFormat="false" ht="21.75" hidden="false" customHeight="true" outlineLevel="0" collapsed="false">
      <c r="B4" s="21" t="s">
        <v>311</v>
      </c>
    </row>
    <row r="5" customFormat="false" ht="15" hidden="false" customHeight="true" outlineLevel="0" collapsed="false">
      <c r="B5" s="22" t="s">
        <v>312</v>
      </c>
    </row>
    <row r="7" customFormat="false" ht="15" hidden="false" customHeight="true" outlineLevel="0" collapsed="false">
      <c r="B7" s="14" t="s">
        <v>313</v>
      </c>
      <c r="C7" s="14" t="s">
        <v>222</v>
      </c>
      <c r="D7" s="14" t="s">
        <v>314</v>
      </c>
      <c r="E7" s="14" t="s">
        <v>315</v>
      </c>
      <c r="F7" s="14" t="s">
        <v>316</v>
      </c>
      <c r="G7" s="14" t="s">
        <v>317</v>
      </c>
      <c r="H7" s="14" t="s">
        <v>318</v>
      </c>
      <c r="I7" s="14" t="s">
        <v>319</v>
      </c>
      <c r="J7" s="14" t="s">
        <v>320</v>
      </c>
    </row>
    <row r="8" customFormat="false" ht="25.5" hidden="false" customHeight="true" outlineLevel="0" collapsed="false">
      <c r="B8" s="17" t="s">
        <v>321</v>
      </c>
      <c r="C8" s="18" t="s">
        <v>322</v>
      </c>
      <c r="D8" s="58" t="s">
        <v>323</v>
      </c>
      <c r="E8" s="18" t="s">
        <v>324</v>
      </c>
      <c r="F8" s="18" t="s">
        <v>325</v>
      </c>
      <c r="G8" s="18" t="s">
        <v>326</v>
      </c>
      <c r="H8" s="18" t="s">
        <v>327</v>
      </c>
      <c r="I8" s="18" t="s">
        <v>328</v>
      </c>
      <c r="J8" s="18"/>
    </row>
    <row r="9" customFormat="false" ht="25.5" hidden="false" customHeight="true" outlineLevel="0" collapsed="false">
      <c r="B9" s="17" t="s">
        <v>329</v>
      </c>
      <c r="C9" s="18" t="s">
        <v>330</v>
      </c>
      <c r="D9" s="58" t="s">
        <v>331</v>
      </c>
      <c r="E9" s="18" t="s">
        <v>332</v>
      </c>
      <c r="F9" s="18" t="s">
        <v>333</v>
      </c>
      <c r="G9" s="18" t="s">
        <v>334</v>
      </c>
      <c r="H9" s="18" t="s">
        <v>335</v>
      </c>
      <c r="I9" s="18" t="s">
        <v>336</v>
      </c>
      <c r="J9" s="18"/>
    </row>
    <row r="10" customFormat="false" ht="25.5" hidden="false" customHeight="true" outlineLevel="0" collapsed="false">
      <c r="B10" s="17" t="s">
        <v>337</v>
      </c>
      <c r="C10" s="18" t="s">
        <v>338</v>
      </c>
      <c r="D10" s="58" t="s">
        <v>339</v>
      </c>
      <c r="E10" s="18" t="s">
        <v>340</v>
      </c>
      <c r="F10" s="18" t="s">
        <v>341</v>
      </c>
      <c r="G10" s="18" t="s">
        <v>326</v>
      </c>
      <c r="H10" s="18" t="s">
        <v>342</v>
      </c>
      <c r="I10" s="18" t="s">
        <v>336</v>
      </c>
      <c r="J10" s="18"/>
    </row>
    <row r="11" customFormat="false" ht="25.5" hidden="false" customHeight="true" outlineLevel="0" collapsed="false">
      <c r="B11" s="17" t="s">
        <v>343</v>
      </c>
      <c r="C11" s="18" t="s">
        <v>344</v>
      </c>
      <c r="D11" s="58" t="s">
        <v>345</v>
      </c>
      <c r="E11" s="18" t="s">
        <v>340</v>
      </c>
      <c r="F11" s="18" t="s">
        <v>341</v>
      </c>
      <c r="G11" s="18" t="s">
        <v>334</v>
      </c>
      <c r="H11" s="18" t="s">
        <v>346</v>
      </c>
      <c r="I11" s="18" t="s">
        <v>336</v>
      </c>
      <c r="J11" s="18"/>
    </row>
    <row r="12" customFormat="false" ht="25.5" hidden="false" customHeight="true" outlineLevel="0" collapsed="false">
      <c r="B12" s="17" t="s">
        <v>347</v>
      </c>
      <c r="C12" s="18" t="s">
        <v>348</v>
      </c>
      <c r="D12" s="58" t="s">
        <v>349</v>
      </c>
      <c r="E12" s="18" t="s">
        <v>324</v>
      </c>
      <c r="F12" s="18" t="s">
        <v>350</v>
      </c>
      <c r="G12" s="18" t="s">
        <v>334</v>
      </c>
      <c r="H12" s="18" t="s">
        <v>351</v>
      </c>
      <c r="I12" s="18" t="s">
        <v>336</v>
      </c>
      <c r="J12" s="18"/>
    </row>
    <row r="13" customFormat="false" ht="25.5" hidden="false" customHeight="true" outlineLevel="0" collapsed="false">
      <c r="B13" s="17" t="s">
        <v>352</v>
      </c>
      <c r="C13" s="18" t="s">
        <v>353</v>
      </c>
      <c r="D13" s="58" t="s">
        <v>354</v>
      </c>
      <c r="E13" s="18" t="s">
        <v>332</v>
      </c>
      <c r="F13" s="18" t="s">
        <v>355</v>
      </c>
      <c r="G13" s="18" t="s">
        <v>334</v>
      </c>
      <c r="H13" s="18" t="s">
        <v>356</v>
      </c>
      <c r="I13" s="18" t="s">
        <v>336</v>
      </c>
      <c r="J13" s="18"/>
    </row>
    <row r="14" customFormat="false" ht="25.5" hidden="false" customHeight="true" outlineLevel="0" collapsed="false">
      <c r="B14" s="17" t="s">
        <v>357</v>
      </c>
      <c r="C14" s="18" t="s">
        <v>358</v>
      </c>
      <c r="D14" s="58" t="s">
        <v>359</v>
      </c>
      <c r="E14" s="18" t="s">
        <v>360</v>
      </c>
      <c r="F14" s="18" t="s">
        <v>361</v>
      </c>
      <c r="G14" s="18" t="s">
        <v>362</v>
      </c>
      <c r="H14" s="18" t="s">
        <v>363</v>
      </c>
      <c r="I14" s="18" t="s">
        <v>336</v>
      </c>
      <c r="J14" s="18"/>
    </row>
    <row r="15" customFormat="false" ht="25.5" hidden="false" customHeight="true" outlineLevel="0" collapsed="false">
      <c r="B15" s="17" t="s">
        <v>364</v>
      </c>
      <c r="C15" s="18" t="s">
        <v>365</v>
      </c>
      <c r="D15" s="58" t="s">
        <v>366</v>
      </c>
      <c r="E15" s="18" t="s">
        <v>367</v>
      </c>
      <c r="F15" s="18" t="s">
        <v>341</v>
      </c>
      <c r="G15" s="18" t="s">
        <v>334</v>
      </c>
      <c r="H15" s="18" t="s">
        <v>368</v>
      </c>
      <c r="I15" s="18" t="s">
        <v>328</v>
      </c>
      <c r="J15" s="18"/>
    </row>
    <row r="16" customFormat="false" ht="25.5" hidden="false" customHeight="true" outlineLevel="0" collapsed="false">
      <c r="B16" s="17" t="s">
        <v>369</v>
      </c>
      <c r="C16" s="18" t="s">
        <v>370</v>
      </c>
      <c r="D16" s="58" t="s">
        <v>371</v>
      </c>
      <c r="E16" s="18" t="s">
        <v>372</v>
      </c>
      <c r="F16" s="18" t="s">
        <v>373</v>
      </c>
      <c r="G16" s="18" t="s">
        <v>334</v>
      </c>
      <c r="H16" s="18" t="s">
        <v>374</v>
      </c>
      <c r="I16" s="18" t="s">
        <v>336</v>
      </c>
      <c r="J16" s="18"/>
    </row>
    <row r="17" customFormat="false" ht="25.5" hidden="false" customHeight="true" outlineLevel="0" collapsed="false">
      <c r="B17" s="17" t="s">
        <v>375</v>
      </c>
      <c r="C17" s="18" t="s">
        <v>376</v>
      </c>
      <c r="D17" s="58" t="s">
        <v>377</v>
      </c>
      <c r="E17" s="18" t="s">
        <v>378</v>
      </c>
      <c r="F17" s="18" t="s">
        <v>379</v>
      </c>
      <c r="G17" s="18" t="s">
        <v>326</v>
      </c>
      <c r="H17" s="18" t="s">
        <v>380</v>
      </c>
      <c r="I17" s="18" t="s">
        <v>336</v>
      </c>
      <c r="J17" s="18"/>
    </row>
    <row r="19" customFormat="false" ht="15" hidden="false" customHeight="true" outlineLevel="0" collapsed="false">
      <c r="B19" s="19" t="s">
        <v>34</v>
      </c>
    </row>
  </sheetData>
  <conditionalFormatting sqref="I8:I1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dataValidations count="1">
    <dataValidation allowBlank="true" errorStyle="stop" operator="between" showDropDown="false" showErrorMessage="false" showInputMessage="false" sqref="I8:I1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42"/>
    <col collapsed="false" customWidth="true" hidden="false" outlineLevel="0" max="6" min="6" style="1" width="26"/>
    <col collapsed="false" customWidth="true" hidden="false" outlineLevel="0" max="7" min="7" style="1" width="14"/>
  </cols>
  <sheetData>
    <row r="2" customFormat="false" ht="15" hidden="false" customHeight="true" outlineLevel="0" collapsed="false">
      <c r="B2" s="20" t="s">
        <v>28</v>
      </c>
    </row>
    <row r="4" customFormat="false" ht="21.75" hidden="false" customHeight="true" outlineLevel="0" collapsed="false">
      <c r="B4" s="21" t="s">
        <v>381</v>
      </c>
    </row>
    <row r="5" customFormat="false" ht="15" hidden="false" customHeight="true" outlineLevel="0" collapsed="false">
      <c r="B5" s="22" t="s">
        <v>382</v>
      </c>
    </row>
    <row r="7" customFormat="false" ht="15" hidden="false" customHeight="true" outlineLevel="0" collapsed="false">
      <c r="B7" s="14" t="s">
        <v>383</v>
      </c>
      <c r="C7" s="14" t="s">
        <v>384</v>
      </c>
      <c r="D7" s="14" t="s">
        <v>385</v>
      </c>
      <c r="E7" s="14" t="s">
        <v>386</v>
      </c>
      <c r="F7" s="14" t="s">
        <v>387</v>
      </c>
      <c r="G7" s="14" t="s">
        <v>319</v>
      </c>
    </row>
    <row r="8" customFormat="false" ht="15" hidden="false" customHeight="true" outlineLevel="0" collapsed="false">
      <c r="B8" s="17" t="s">
        <v>388</v>
      </c>
      <c r="C8" s="18" t="s">
        <v>389</v>
      </c>
      <c r="D8" s="18" t="s">
        <v>390</v>
      </c>
      <c r="E8" s="18" t="s">
        <v>391</v>
      </c>
      <c r="F8" s="18" t="s">
        <v>392</v>
      </c>
      <c r="G8" s="18" t="s">
        <v>336</v>
      </c>
    </row>
    <row r="9" customFormat="false" ht="15" hidden="false" customHeight="true" outlineLevel="0" collapsed="false">
      <c r="B9" s="17" t="s">
        <v>393</v>
      </c>
      <c r="C9" s="18" t="s">
        <v>389</v>
      </c>
      <c r="D9" s="18" t="s">
        <v>394</v>
      </c>
      <c r="E9" s="18" t="s">
        <v>395</v>
      </c>
      <c r="F9" s="18" t="s">
        <v>396</v>
      </c>
      <c r="G9" s="18" t="s">
        <v>336</v>
      </c>
    </row>
    <row r="10" customFormat="false" ht="15" hidden="false" customHeight="true" outlineLevel="0" collapsed="false">
      <c r="B10" s="17" t="s">
        <v>397</v>
      </c>
      <c r="C10" s="18" t="s">
        <v>389</v>
      </c>
      <c r="D10" s="18" t="s">
        <v>398</v>
      </c>
      <c r="E10" s="18" t="s">
        <v>399</v>
      </c>
      <c r="F10" s="18" t="s">
        <v>400</v>
      </c>
      <c r="G10" s="18" t="s">
        <v>336</v>
      </c>
    </row>
    <row r="11" customFormat="false" ht="15" hidden="false" customHeight="true" outlineLevel="0" collapsed="false">
      <c r="B11" s="17" t="s">
        <v>401</v>
      </c>
      <c r="C11" s="18" t="s">
        <v>389</v>
      </c>
      <c r="D11" s="18" t="s">
        <v>402</v>
      </c>
      <c r="E11" s="18" t="s">
        <v>403</v>
      </c>
      <c r="F11" s="18" t="s">
        <v>404</v>
      </c>
      <c r="G11" s="18" t="s">
        <v>336</v>
      </c>
    </row>
    <row r="12" customFormat="false" ht="15" hidden="false" customHeight="true" outlineLevel="0" collapsed="false">
      <c r="B12" s="17" t="s">
        <v>405</v>
      </c>
      <c r="C12" s="18" t="s">
        <v>406</v>
      </c>
      <c r="D12" s="18" t="s">
        <v>407</v>
      </c>
      <c r="E12" s="18" t="s">
        <v>408</v>
      </c>
      <c r="F12" s="18" t="s">
        <v>409</v>
      </c>
      <c r="G12" s="18" t="s">
        <v>336</v>
      </c>
    </row>
    <row r="13" customFormat="false" ht="15" hidden="false" customHeight="true" outlineLevel="0" collapsed="false">
      <c r="B13" s="17" t="s">
        <v>410</v>
      </c>
      <c r="C13" s="18" t="s">
        <v>406</v>
      </c>
      <c r="D13" s="18" t="s">
        <v>411</v>
      </c>
      <c r="E13" s="18" t="s">
        <v>412</v>
      </c>
      <c r="F13" s="18" t="s">
        <v>413</v>
      </c>
      <c r="G13" s="18" t="s">
        <v>336</v>
      </c>
    </row>
    <row r="14" customFormat="false" ht="15" hidden="false" customHeight="true" outlineLevel="0" collapsed="false">
      <c r="B14" s="17" t="s">
        <v>414</v>
      </c>
      <c r="C14" s="18" t="s">
        <v>406</v>
      </c>
      <c r="D14" s="18" t="s">
        <v>415</v>
      </c>
      <c r="E14" s="18" t="s">
        <v>416</v>
      </c>
      <c r="F14" s="18" t="s">
        <v>417</v>
      </c>
      <c r="G14" s="18" t="s">
        <v>336</v>
      </c>
    </row>
    <row r="15" customFormat="false" ht="15" hidden="false" customHeight="true" outlineLevel="0" collapsed="false">
      <c r="B15" s="17" t="s">
        <v>418</v>
      </c>
      <c r="C15" s="18" t="s">
        <v>406</v>
      </c>
      <c r="D15" s="18" t="s">
        <v>419</v>
      </c>
      <c r="E15" s="18" t="s">
        <v>420</v>
      </c>
      <c r="F15" s="18" t="s">
        <v>421</v>
      </c>
      <c r="G15" s="18" t="s">
        <v>336</v>
      </c>
    </row>
    <row r="16" customFormat="false" ht="15" hidden="false" customHeight="true" outlineLevel="0" collapsed="false">
      <c r="B16" s="17" t="s">
        <v>422</v>
      </c>
      <c r="C16" s="18" t="s">
        <v>423</v>
      </c>
      <c r="D16" s="18" t="s">
        <v>424</v>
      </c>
      <c r="E16" s="18" t="s">
        <v>425</v>
      </c>
      <c r="F16" s="18" t="s">
        <v>426</v>
      </c>
      <c r="G16" s="18" t="s">
        <v>336</v>
      </c>
    </row>
    <row r="17" customFormat="false" ht="15" hidden="false" customHeight="true" outlineLevel="0" collapsed="false">
      <c r="B17" s="17" t="s">
        <v>427</v>
      </c>
      <c r="C17" s="18" t="s">
        <v>423</v>
      </c>
      <c r="D17" s="18" t="s">
        <v>428</v>
      </c>
      <c r="E17" s="18" t="s">
        <v>429</v>
      </c>
      <c r="F17" s="18" t="s">
        <v>430</v>
      </c>
      <c r="G17" s="18" t="s">
        <v>336</v>
      </c>
    </row>
    <row r="18" customFormat="false" ht="15" hidden="false" customHeight="true" outlineLevel="0" collapsed="false">
      <c r="B18" s="17" t="s">
        <v>431</v>
      </c>
      <c r="C18" s="18" t="s">
        <v>423</v>
      </c>
      <c r="D18" s="18" t="s">
        <v>432</v>
      </c>
      <c r="E18" s="18" t="s">
        <v>433</v>
      </c>
      <c r="F18" s="18" t="s">
        <v>434</v>
      </c>
      <c r="G18" s="18" t="s">
        <v>336</v>
      </c>
    </row>
    <row r="19" customFormat="false" ht="15" hidden="false" customHeight="true" outlineLevel="0" collapsed="false">
      <c r="B19" s="17" t="s">
        <v>435</v>
      </c>
      <c r="C19" s="18" t="s">
        <v>436</v>
      </c>
      <c r="D19" s="18" t="s">
        <v>437</v>
      </c>
      <c r="E19" s="18" t="s">
        <v>438</v>
      </c>
      <c r="F19" s="18" t="s">
        <v>439</v>
      </c>
      <c r="G19" s="18" t="s">
        <v>336</v>
      </c>
    </row>
    <row r="21" customFormat="false" ht="15" hidden="false" customHeight="true" outlineLevel="0" collapsed="false">
      <c r="B21" s="19" t="s">
        <v>34</v>
      </c>
    </row>
  </sheetData>
  <conditionalFormatting sqref="G8:G1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dataValidations count="1">
    <dataValidation allowBlank="true" errorStyle="stop" operator="between" showDropDown="false" showErrorMessage="false" showInputMessage="false" sqref="G8:G19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26"/>
    <col collapsed="false" customWidth="true" hidden="false" outlineLevel="0" max="6" min="6" style="1" width="14"/>
  </cols>
  <sheetData>
    <row r="2" customFormat="false" ht="15" hidden="false" customHeight="true" outlineLevel="0" collapsed="false">
      <c r="B2" s="52" t="s">
        <v>28</v>
      </c>
    </row>
    <row r="4" customFormat="false" ht="21.75" hidden="false" customHeight="true" outlineLevel="0" collapsed="false">
      <c r="B4" s="21" t="s">
        <v>440</v>
      </c>
    </row>
    <row r="5" customFormat="false" ht="15" hidden="false" customHeight="true" outlineLevel="0" collapsed="false">
      <c r="B5" s="22" t="s">
        <v>441</v>
      </c>
    </row>
    <row r="7" customFormat="false" ht="15" hidden="false" customHeight="true" outlineLevel="0" collapsed="false">
      <c r="B7" s="14" t="s">
        <v>153</v>
      </c>
      <c r="C7" s="14" t="s">
        <v>376</v>
      </c>
      <c r="D7" s="14" t="s">
        <v>442</v>
      </c>
      <c r="E7" s="14" t="s">
        <v>387</v>
      </c>
      <c r="F7" s="14" t="s">
        <v>319</v>
      </c>
    </row>
    <row r="8" customFormat="false" ht="15" hidden="false" customHeight="true" outlineLevel="0" collapsed="false">
      <c r="B8" s="17" t="s">
        <v>271</v>
      </c>
      <c r="C8" s="18" t="s">
        <v>443</v>
      </c>
      <c r="D8" s="18" t="s">
        <v>444</v>
      </c>
      <c r="E8" s="18" t="s">
        <v>445</v>
      </c>
      <c r="F8" s="18" t="s">
        <v>336</v>
      </c>
    </row>
    <row r="9" customFormat="false" ht="15" hidden="false" customHeight="true" outlineLevel="0" collapsed="false">
      <c r="B9" s="17" t="s">
        <v>272</v>
      </c>
      <c r="C9" s="18" t="s">
        <v>446</v>
      </c>
      <c r="D9" s="18" t="s">
        <v>447</v>
      </c>
      <c r="E9" s="18" t="s">
        <v>448</v>
      </c>
      <c r="F9" s="18" t="s">
        <v>336</v>
      </c>
    </row>
    <row r="10" customFormat="false" ht="15" hidden="false" customHeight="true" outlineLevel="0" collapsed="false">
      <c r="B10" s="17" t="s">
        <v>273</v>
      </c>
      <c r="C10" s="17" t="s">
        <v>449</v>
      </c>
      <c r="D10" s="18" t="s">
        <v>450</v>
      </c>
      <c r="E10" s="18" t="s">
        <v>451</v>
      </c>
      <c r="F10" s="18" t="s">
        <v>336</v>
      </c>
    </row>
    <row r="11" customFormat="false" ht="15" hidden="false" customHeight="true" outlineLevel="0" collapsed="false">
      <c r="B11" s="17" t="s">
        <v>274</v>
      </c>
      <c r="C11" s="18" t="s">
        <v>452</v>
      </c>
      <c r="D11" s="18" t="s">
        <v>453</v>
      </c>
      <c r="E11" s="18" t="s">
        <v>454</v>
      </c>
      <c r="F11" s="18" t="s">
        <v>336</v>
      </c>
    </row>
    <row r="12" customFormat="false" ht="15" hidden="false" customHeight="true" outlineLevel="0" collapsed="false">
      <c r="B12" s="17" t="s">
        <v>275</v>
      </c>
      <c r="C12" s="18" t="s">
        <v>455</v>
      </c>
      <c r="D12" s="18" t="s">
        <v>456</v>
      </c>
      <c r="E12" s="18" t="s">
        <v>457</v>
      </c>
      <c r="F12" s="18" t="s">
        <v>336</v>
      </c>
    </row>
    <row r="13" customFormat="false" ht="15" hidden="false" customHeight="true" outlineLevel="0" collapsed="false">
      <c r="B13" s="17" t="s">
        <v>276</v>
      </c>
      <c r="C13" s="18" t="s">
        <v>458</v>
      </c>
      <c r="D13" s="18" t="s">
        <v>459</v>
      </c>
      <c r="E13" s="18" t="s">
        <v>460</v>
      </c>
      <c r="F13" s="18" t="s">
        <v>336</v>
      </c>
    </row>
    <row r="15" customFormat="false" ht="15" hidden="false" customHeight="true" outlineLevel="0" collapsed="false">
      <c r="B15" s="19" t="s">
        <v>34</v>
      </c>
    </row>
  </sheetData>
  <conditionalFormatting sqref="F8:F1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conditionalFormatting sqref="B10:F10">
    <cfRule type="expression" priority="6" aboveAverage="0" equalAverage="0" bottom="0" percent="0" rank="0" text="" dxfId="4">
      <formula>1</formula>
    </cfRule>
  </conditionalFormatting>
  <dataValidations count="1">
    <dataValidation allowBlank="true" errorStyle="stop" operator="between" showDropDown="false" showErrorMessage="false" showInputMessage="false" sqref="F8:F13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12" min="5" style="1" width="9"/>
    <col collapsed="false" customWidth="true" hidden="false" outlineLevel="0" max="13" min="13" style="1" width="12"/>
    <col collapsed="false" customWidth="true" hidden="false" outlineLevel="0" max="14" min="14" style="1" width="16"/>
  </cols>
  <sheetData>
    <row r="2" customFormat="false" ht="15" hidden="false" customHeight="true" outlineLevel="0" collapsed="false">
      <c r="B2" s="35" t="s">
        <v>28</v>
      </c>
    </row>
    <row r="4" customFormat="false" ht="21.75" hidden="false" customHeight="true" outlineLevel="0" collapsed="false">
      <c r="B4" s="21" t="s">
        <v>461</v>
      </c>
    </row>
    <row r="5" customFormat="false" ht="15" hidden="false" customHeight="true" outlineLevel="0" collapsed="false">
      <c r="B5" s="22" t="s">
        <v>462</v>
      </c>
    </row>
    <row r="7" customFormat="false" ht="21.75" hidden="false" customHeight="true" outlineLevel="0" collapsed="false">
      <c r="B7" s="14" t="s">
        <v>463</v>
      </c>
      <c r="C7" s="14" t="s">
        <v>464</v>
      </c>
      <c r="D7" s="14" t="s">
        <v>387</v>
      </c>
      <c r="E7" s="14" t="s">
        <v>388</v>
      </c>
      <c r="F7" s="14" t="s">
        <v>393</v>
      </c>
      <c r="G7" s="14" t="s">
        <v>397</v>
      </c>
      <c r="H7" s="14" t="s">
        <v>401</v>
      </c>
      <c r="I7" s="14" t="s">
        <v>405</v>
      </c>
      <c r="J7" s="14" t="s">
        <v>410</v>
      </c>
      <c r="K7" s="14" t="s">
        <v>414</v>
      </c>
      <c r="L7" s="14" t="s">
        <v>418</v>
      </c>
      <c r="M7" s="14" t="s">
        <v>465</v>
      </c>
      <c r="N7" s="14" t="s">
        <v>466</v>
      </c>
    </row>
    <row r="8" customFormat="false" ht="15" hidden="false" customHeight="true" outlineLevel="0" collapsed="false">
      <c r="B8" s="12" t="s">
        <v>467</v>
      </c>
      <c r="C8" s="37" t="s">
        <v>141</v>
      </c>
      <c r="D8" s="49" t="n">
        <f aca="false">Simulator!C19</f>
        <v>33896.2042305459</v>
      </c>
      <c r="E8" s="59"/>
      <c r="F8" s="59"/>
      <c r="G8" s="59"/>
      <c r="H8" s="59"/>
      <c r="I8" s="59"/>
      <c r="J8" s="59"/>
      <c r="K8" s="59"/>
      <c r="L8" s="59"/>
      <c r="M8" s="46" t="str">
        <f aca="false">IFERROR(LOOKUP(2,1/(E8:L8&lt;&gt;""),E8:L8),"")</f>
        <v/>
      </c>
      <c r="N8" s="49" t="str">
        <f aca="false">IF(M8="","",M8-D8)</f>
        <v/>
      </c>
    </row>
    <row r="9" customFormat="false" ht="15" hidden="false" customHeight="true" outlineLevel="0" collapsed="false">
      <c r="B9" s="12" t="s">
        <v>468</v>
      </c>
      <c r="C9" s="37" t="s">
        <v>469</v>
      </c>
      <c r="D9" s="50" t="n">
        <v>0.1</v>
      </c>
      <c r="E9" s="60"/>
      <c r="F9" s="60"/>
      <c r="G9" s="60"/>
      <c r="H9" s="60"/>
      <c r="I9" s="60"/>
      <c r="J9" s="60"/>
      <c r="K9" s="60"/>
      <c r="L9" s="60"/>
      <c r="M9" s="48" t="str">
        <f aca="false">IFERROR(LOOKUP(2,1/(E9:L9&lt;&gt;""),E9:L9),"")</f>
        <v/>
      </c>
      <c r="N9" s="50" t="str">
        <f aca="false">IF(M9="","",M9-D9)</f>
        <v/>
      </c>
    </row>
    <row r="10" customFormat="false" ht="15" hidden="false" customHeight="true" outlineLevel="0" collapsed="false">
      <c r="B10" s="12" t="s">
        <v>470</v>
      </c>
      <c r="C10" s="37" t="s">
        <v>469</v>
      </c>
      <c r="D10" s="50" t="n">
        <v>0.85</v>
      </c>
      <c r="E10" s="60"/>
      <c r="F10" s="60"/>
      <c r="G10" s="60"/>
      <c r="H10" s="60"/>
      <c r="I10" s="60"/>
      <c r="J10" s="60"/>
      <c r="K10" s="60"/>
      <c r="L10" s="60"/>
      <c r="M10" s="48" t="str">
        <f aca="false">IFERROR(LOOKUP(2,1/(E10:L10&lt;&gt;""),E10:L10),"")</f>
        <v/>
      </c>
      <c r="N10" s="50" t="str">
        <f aca="false">IF(M10="","",M10-D10)</f>
        <v/>
      </c>
    </row>
    <row r="11" customFormat="false" ht="15" hidden="false" customHeight="true" outlineLevel="0" collapsed="false">
      <c r="B11" s="12" t="s">
        <v>471</v>
      </c>
      <c r="C11" s="37" t="s">
        <v>472</v>
      </c>
      <c r="D11" s="61" t="n">
        <v>0</v>
      </c>
      <c r="E11" s="62"/>
      <c r="F11" s="62"/>
      <c r="G11" s="62"/>
      <c r="H11" s="62"/>
      <c r="I11" s="62"/>
      <c r="J11" s="62"/>
      <c r="K11" s="62"/>
      <c r="L11" s="62"/>
      <c r="M11" s="55" t="str">
        <f aca="false">IFERROR(LOOKUP(2,1/(E11:L11&lt;&gt;""),E11:L11),"")</f>
        <v/>
      </c>
      <c r="N11" s="61" t="str">
        <f aca="false">IF(M11="","",M11-D11)</f>
        <v/>
      </c>
    </row>
    <row r="12" customFormat="false" ht="15" hidden="false" customHeight="true" outlineLevel="0" collapsed="false">
      <c r="B12" s="12" t="s">
        <v>473</v>
      </c>
      <c r="C12" s="37" t="s">
        <v>469</v>
      </c>
      <c r="D12" s="50" t="n">
        <v>0.65</v>
      </c>
      <c r="E12" s="60"/>
      <c r="F12" s="60"/>
      <c r="G12" s="60"/>
      <c r="H12" s="60"/>
      <c r="I12" s="60"/>
      <c r="J12" s="60"/>
      <c r="K12" s="60"/>
      <c r="L12" s="60"/>
      <c r="M12" s="48" t="str">
        <f aca="false">IFERROR(LOOKUP(2,1/(E12:L12&lt;&gt;""),E12:L12),"")</f>
        <v/>
      </c>
      <c r="N12" s="50" t="str">
        <f aca="false">IF(M12="","",M12-D12)</f>
        <v/>
      </c>
    </row>
    <row r="13" customFormat="false" ht="15" hidden="false" customHeight="true" outlineLevel="0" collapsed="false">
      <c r="B13" s="12" t="s">
        <v>474</v>
      </c>
      <c r="C13" s="37" t="s">
        <v>472</v>
      </c>
      <c r="D13" s="61" t="n">
        <f aca="false">COUNTIF('Action Plan R1-R7'!I8:I17,"Done")</f>
        <v>0</v>
      </c>
      <c r="E13" s="62"/>
      <c r="F13" s="62"/>
      <c r="G13" s="62"/>
      <c r="H13" s="62"/>
      <c r="I13" s="62"/>
      <c r="J13" s="62"/>
      <c r="K13" s="62"/>
      <c r="L13" s="62"/>
      <c r="M13" s="55" t="str">
        <f aca="false">IFERROR(LOOKUP(2,1/(E13:L13&lt;&gt;""),E13:L13),"")</f>
        <v/>
      </c>
      <c r="N13" s="61" t="str">
        <f aca="false">IF(M13="","",M13-D13)</f>
        <v/>
      </c>
    </row>
    <row r="15" customFormat="false" ht="15" hidden="false" customHeight="true" outlineLevel="0" collapsed="false">
      <c r="B15" s="37" t="s">
        <v>475</v>
      </c>
    </row>
    <row r="17" customFormat="false" ht="15" hidden="false" customHeight="true" outlineLevel="0" collapsed="false">
      <c r="B17" s="19" t="s">
        <v>34</v>
      </c>
    </row>
  </sheetData>
  <conditionalFormatting sqref="N8:N13">
    <cfRule type="colorScale" priority="2">
      <colorScale>
        <cfvo type="min" val="0"/>
        <cfvo type="num" val="0"/>
        <cfvo type="max" val="0"/>
        <color rgb="FF7FBA00"/>
        <color rgb="FFFFFFFF"/>
        <color rgb="FFF2502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60"/>
  </cols>
  <sheetData>
    <row r="2" customFormat="false" ht="15" hidden="false" customHeight="true" outlineLevel="0" collapsed="false">
      <c r="B2" s="20" t="s">
        <v>31</v>
      </c>
    </row>
    <row r="4" customFormat="false" ht="21.75" hidden="false" customHeight="true" outlineLevel="0" collapsed="false">
      <c r="B4" s="21" t="s">
        <v>476</v>
      </c>
    </row>
    <row r="5" customFormat="false" ht="15" hidden="false" customHeight="true" outlineLevel="0" collapsed="false">
      <c r="B5" s="22" t="s">
        <v>477</v>
      </c>
    </row>
    <row r="8" customFormat="false" ht="15" hidden="false" customHeight="true" outlineLevel="0" collapsed="false">
      <c r="B8" s="23" t="s">
        <v>478</v>
      </c>
      <c r="C8" s="46" t="n">
        <f aca="false">Simulator!C19</f>
        <v>33896.2042305459</v>
      </c>
    </row>
    <row r="9" customFormat="false" ht="15" hidden="false" customHeight="true" outlineLevel="0" collapsed="false">
      <c r="B9" s="23" t="s">
        <v>479</v>
      </c>
      <c r="C9" s="55" t="n">
        <f aca="false">'Client Intake'!C11+'Client Intake'!C12</f>
        <v>4131</v>
      </c>
    </row>
    <row r="10" customFormat="false" ht="15" hidden="false" customHeight="true" outlineLevel="0" collapsed="false">
      <c r="B10" s="23" t="s">
        <v>480</v>
      </c>
      <c r="C10" s="63" t="n">
        <f aca="false">IF(C9=0,0,C8/C9)</f>
        <v>8.20532661112222</v>
      </c>
    </row>
    <row r="11" customFormat="false" ht="15" hidden="false" customHeight="true" outlineLevel="0" collapsed="false">
      <c r="B11" s="23" t="s">
        <v>122</v>
      </c>
      <c r="C11" s="55" t="n">
        <f aca="false">'Client Intake'!C20</f>
        <v>10</v>
      </c>
    </row>
    <row r="12" customFormat="false" ht="15" hidden="false" customHeight="true" outlineLevel="0" collapsed="false">
      <c r="B12" s="23" t="s">
        <v>481</v>
      </c>
      <c r="C12" s="46" t="n">
        <f aca="false">IF(C11=0,0,C8/C11)</f>
        <v>3389.62042305459</v>
      </c>
    </row>
    <row r="13" customFormat="false" ht="15" hidden="false" customHeight="true" outlineLevel="0" collapsed="false">
      <c r="B13" s="23" t="s">
        <v>482</v>
      </c>
      <c r="C13" s="41" t="n">
        <v>0.8</v>
      </c>
    </row>
    <row r="14" customFormat="false" ht="15" hidden="false" customHeight="true" outlineLevel="0" collapsed="false">
      <c r="B14" s="23" t="s">
        <v>483</v>
      </c>
      <c r="C14" s="63" t="n">
        <f aca="false">C10*C13</f>
        <v>6.56426128889777</v>
      </c>
    </row>
    <row r="15" customFormat="false" ht="15" hidden="false" customHeight="true" outlineLevel="0" collapsed="false">
      <c r="B15" s="23" t="s">
        <v>484</v>
      </c>
      <c r="C15" s="46" t="n">
        <f aca="false">C12*C13</f>
        <v>2711.69633844367</v>
      </c>
    </row>
    <row r="17" customFormat="false" ht="15" hidden="false" customHeight="true" outlineLevel="0" collapsed="false">
      <c r="B17" s="54" t="s">
        <v>485</v>
      </c>
    </row>
    <row r="18" customFormat="false" ht="21.75" hidden="false" customHeight="true" outlineLevel="0" collapsed="false">
      <c r="B18" s="14" t="s">
        <v>486</v>
      </c>
      <c r="C18" s="14" t="s">
        <v>487</v>
      </c>
      <c r="D18" s="14" t="s">
        <v>488</v>
      </c>
    </row>
    <row r="19" customFormat="false" ht="15" hidden="false" customHeight="true" outlineLevel="0" collapsed="false">
      <c r="B19" s="17" t="s">
        <v>489</v>
      </c>
      <c r="C19" s="18" t="s">
        <v>490</v>
      </c>
      <c r="D19" s="18" t="s">
        <v>491</v>
      </c>
    </row>
    <row r="20" customFormat="false" ht="15" hidden="false" customHeight="true" outlineLevel="0" collapsed="false">
      <c r="B20" s="17" t="s">
        <v>492</v>
      </c>
      <c r="C20" s="18" t="s">
        <v>493</v>
      </c>
      <c r="D20" s="18" t="s">
        <v>494</v>
      </c>
    </row>
    <row r="21" customFormat="false" ht="15" hidden="false" customHeight="true" outlineLevel="0" collapsed="false">
      <c r="B21" s="17" t="s">
        <v>495</v>
      </c>
      <c r="C21" s="18" t="s">
        <v>496</v>
      </c>
      <c r="D21" s="18" t="s">
        <v>497</v>
      </c>
    </row>
    <row r="23" customFormat="false" ht="15" hidden="false" customHeight="true" outlineLevel="0" collapsed="false">
      <c r="B23" s="37" t="s">
        <v>498</v>
      </c>
    </row>
    <row r="25" customFormat="false" ht="15" hidden="false" customHeight="true" outlineLevel="0" collapsed="false">
      <c r="B25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64"/>
  </cols>
  <sheetData>
    <row r="2" customFormat="false" ht="15" hidden="false" customHeight="true" outlineLevel="0" collapsed="false">
      <c r="B2" s="52" t="s">
        <v>499</v>
      </c>
    </row>
    <row r="4" customFormat="false" ht="21.75" hidden="false" customHeight="true" outlineLevel="0" collapsed="false">
      <c r="B4" s="21" t="s">
        <v>500</v>
      </c>
    </row>
    <row r="5" customFormat="false" ht="15" hidden="false" customHeight="true" outlineLevel="0" collapsed="false">
      <c r="B5" s="22" t="s">
        <v>501</v>
      </c>
    </row>
    <row r="7" customFormat="false" ht="15" hidden="false" customHeight="true" outlineLevel="0" collapsed="false">
      <c r="B7" s="14" t="s">
        <v>502</v>
      </c>
      <c r="C7" s="14" t="s">
        <v>503</v>
      </c>
      <c r="D7" s="14" t="s">
        <v>504</v>
      </c>
    </row>
    <row r="8" customFormat="false" ht="15" hidden="false" customHeight="true" outlineLevel="0" collapsed="false">
      <c r="B8" s="12" t="s">
        <v>505</v>
      </c>
      <c r="C8" s="38" t="n">
        <v>3</v>
      </c>
      <c r="D8" s="37" t="s">
        <v>506</v>
      </c>
    </row>
    <row r="9" customFormat="false" ht="15" hidden="false" customHeight="true" outlineLevel="0" collapsed="false">
      <c r="B9" s="12" t="s">
        <v>507</v>
      </c>
      <c r="C9" s="38" t="n">
        <v>3</v>
      </c>
      <c r="D9" s="37" t="s">
        <v>508</v>
      </c>
    </row>
    <row r="10" customFormat="false" ht="15" hidden="false" customHeight="true" outlineLevel="0" collapsed="false">
      <c r="B10" s="12" t="s">
        <v>509</v>
      </c>
      <c r="C10" s="38" t="n">
        <v>3</v>
      </c>
      <c r="D10" s="37" t="s">
        <v>510</v>
      </c>
    </row>
    <row r="11" customFormat="false" ht="15" hidden="false" customHeight="true" outlineLevel="0" collapsed="false">
      <c r="B11" s="12" t="s">
        <v>511</v>
      </c>
      <c r="C11" s="38" t="n">
        <v>2</v>
      </c>
      <c r="D11" s="37" t="s">
        <v>512</v>
      </c>
    </row>
    <row r="12" customFormat="false" ht="15" hidden="false" customHeight="true" outlineLevel="0" collapsed="false">
      <c r="B12" s="12" t="s">
        <v>513</v>
      </c>
      <c r="C12" s="38" t="n">
        <v>2</v>
      </c>
      <c r="D12" s="37" t="s">
        <v>514</v>
      </c>
    </row>
    <row r="14" customFormat="false" ht="15" hidden="false" customHeight="true" outlineLevel="0" collapsed="false">
      <c r="B14" s="12" t="s">
        <v>515</v>
      </c>
      <c r="C14" s="55" t="n">
        <f aca="false">SUM(C8:C12)</f>
        <v>13</v>
      </c>
    </row>
    <row r="15" customFormat="false" ht="15" hidden="false" customHeight="true" outlineLevel="0" collapsed="false">
      <c r="B15" s="12" t="s">
        <v>516</v>
      </c>
      <c r="C15" s="12" t="str">
        <f aca="false">IF(C14&lt;=10,"Initial",IF(C14&lt;=18,"Evolving","Mature"))</f>
        <v>Evolving</v>
      </c>
    </row>
    <row r="18" customFormat="false" ht="15" hidden="false" customHeight="true" outlineLevel="0" collapsed="false">
      <c r="B18" s="19" t="s">
        <v>34</v>
      </c>
    </row>
  </sheetData>
  <conditionalFormatting sqref="C15">
    <cfRule type="cellIs" priority="2" operator="equal" aboveAverage="0" equalAverage="0" bottom="0" percent="0" rank="0" text="" dxfId="2">
      <formula>"Initial"</formula>
    </cfRule>
    <cfRule type="cellIs" priority="3" operator="equal" aboveAverage="0" equalAverage="0" bottom="0" percent="0" rank="0" text="" dxfId="1">
      <formula>"Evolving"</formula>
    </cfRule>
    <cfRule type="cellIs" priority="4" operator="equal" aboveAverage="0" equalAverage="0" bottom="0" percent="0" rank="0" text="" dxfId="0">
      <formula>"Mature"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10"/>
  </cols>
  <sheetData>
    <row r="2" customFormat="false" ht="15" hidden="false" customHeight="true" outlineLevel="0" collapsed="false">
      <c r="B2" s="35" t="s">
        <v>517</v>
      </c>
    </row>
    <row r="4" customFormat="false" ht="21.75" hidden="false" customHeight="true" outlineLevel="0" collapsed="false">
      <c r="B4" s="21" t="s">
        <v>518</v>
      </c>
    </row>
    <row r="5" customFormat="false" ht="15" hidden="false" customHeight="true" outlineLevel="0" collapsed="false">
      <c r="B5" s="22" t="s">
        <v>519</v>
      </c>
    </row>
    <row r="7" customFormat="false" ht="15" hidden="false" customHeight="true" outlineLevel="0" collapsed="false">
      <c r="B7" s="14" t="s">
        <v>520</v>
      </c>
      <c r="C7" s="14" t="s">
        <v>521</v>
      </c>
    </row>
    <row r="8" customFormat="false" ht="15" hidden="false" customHeight="true" outlineLevel="0" collapsed="false">
      <c r="B8" s="12" t="s">
        <v>522</v>
      </c>
      <c r="C8" s="58" t="s">
        <v>523</v>
      </c>
    </row>
    <row r="9" customFormat="false" ht="15" hidden="false" customHeight="true" outlineLevel="0" collapsed="false">
      <c r="B9" s="12" t="s">
        <v>524</v>
      </c>
      <c r="C9" s="58" t="s">
        <v>525</v>
      </c>
    </row>
    <row r="10" customFormat="false" ht="15" hidden="false" customHeight="true" outlineLevel="0" collapsed="false">
      <c r="B10" s="12" t="s">
        <v>526</v>
      </c>
      <c r="C10" s="58" t="s">
        <v>527</v>
      </c>
    </row>
    <row r="11" customFormat="false" ht="15" hidden="false" customHeight="true" outlineLevel="0" collapsed="false">
      <c r="B11" s="12" t="s">
        <v>528</v>
      </c>
      <c r="C11" s="58" t="s">
        <v>529</v>
      </c>
    </row>
    <row r="12" customFormat="false" ht="15" hidden="false" customHeight="true" outlineLevel="0" collapsed="false">
      <c r="B12" s="12" t="s">
        <v>530</v>
      </c>
      <c r="C12" s="58" t="s">
        <v>531</v>
      </c>
    </row>
    <row r="13" customFormat="false" ht="15" hidden="false" customHeight="true" outlineLevel="0" collapsed="false">
      <c r="B13" s="12" t="s">
        <v>532</v>
      </c>
      <c r="C13" s="58" t="s">
        <v>533</v>
      </c>
    </row>
    <row r="14" customFormat="false" ht="15" hidden="false" customHeight="true" outlineLevel="0" collapsed="false">
      <c r="B14" s="12" t="s">
        <v>534</v>
      </c>
      <c r="C14" s="58" t="s">
        <v>535</v>
      </c>
    </row>
    <row r="15" customFormat="false" ht="15" hidden="false" customHeight="true" outlineLevel="0" collapsed="false">
      <c r="B15" s="12" t="s">
        <v>536</v>
      </c>
      <c r="C15" s="58" t="s">
        <v>537</v>
      </c>
    </row>
    <row r="16" customFormat="false" ht="15" hidden="false" customHeight="true" outlineLevel="0" collapsed="false">
      <c r="B16" s="12" t="s">
        <v>538</v>
      </c>
      <c r="C16" s="58" t="s">
        <v>539</v>
      </c>
    </row>
    <row r="17" customFormat="false" ht="15" hidden="false" customHeight="true" outlineLevel="0" collapsed="false">
      <c r="B17" s="12" t="s">
        <v>540</v>
      </c>
      <c r="C17" s="58" t="s">
        <v>541</v>
      </c>
    </row>
    <row r="18" customFormat="false" ht="15" hidden="false" customHeight="true" outlineLevel="0" collapsed="false">
      <c r="B18" s="12" t="s">
        <v>542</v>
      </c>
      <c r="C18" s="58" t="s">
        <v>543</v>
      </c>
    </row>
    <row r="19" customFormat="false" ht="15" hidden="false" customHeight="true" outlineLevel="0" collapsed="false">
      <c r="B19" s="12" t="s">
        <v>263</v>
      </c>
      <c r="C19" s="58" t="s">
        <v>544</v>
      </c>
    </row>
    <row r="20" customFormat="false" ht="15" hidden="false" customHeight="true" outlineLevel="0" collapsed="false">
      <c r="B20" s="12" t="s">
        <v>545</v>
      </c>
      <c r="C20" s="58" t="s">
        <v>546</v>
      </c>
    </row>
    <row r="21" customFormat="false" ht="15" hidden="false" customHeight="true" outlineLevel="0" collapsed="false">
      <c r="B21" s="12" t="s">
        <v>547</v>
      </c>
      <c r="C21" s="58" t="s">
        <v>548</v>
      </c>
    </row>
    <row r="23" customFormat="false" ht="15" hidden="false" customHeight="true" outlineLevel="0" collapsed="false">
      <c r="B23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16"/>
  </cols>
  <sheetData>
    <row r="2" customFormat="false" ht="15" hidden="false" customHeight="true" outlineLevel="0" collapsed="false">
      <c r="B2" s="43" t="s">
        <v>517</v>
      </c>
    </row>
    <row r="4" customFormat="false" ht="21.75" hidden="false" customHeight="true" outlineLevel="0" collapsed="false">
      <c r="B4" s="21" t="s">
        <v>549</v>
      </c>
    </row>
    <row r="5" customFormat="false" ht="15" hidden="false" customHeight="true" outlineLevel="0" collapsed="false">
      <c r="B5" s="22" t="s">
        <v>550</v>
      </c>
    </row>
    <row r="7" customFormat="false" ht="15" hidden="false" customHeight="true" outlineLevel="0" collapsed="false">
      <c r="B7" s="14" t="s">
        <v>551</v>
      </c>
      <c r="C7" s="14" t="s">
        <v>552</v>
      </c>
    </row>
    <row r="8" customFormat="false" ht="25.5" hidden="false" customHeight="true" outlineLevel="0" collapsed="false">
      <c r="B8" s="12" t="s">
        <v>553</v>
      </c>
      <c r="C8" s="58" t="s">
        <v>554</v>
      </c>
    </row>
    <row r="9" customFormat="false" ht="25.5" hidden="false" customHeight="true" outlineLevel="0" collapsed="false">
      <c r="B9" s="12" t="s">
        <v>555</v>
      </c>
      <c r="C9" s="58" t="s">
        <v>556</v>
      </c>
    </row>
    <row r="10" customFormat="false" ht="25.5" hidden="false" customHeight="true" outlineLevel="0" collapsed="false">
      <c r="B10" s="12" t="s">
        <v>557</v>
      </c>
      <c r="C10" s="58" t="s">
        <v>558</v>
      </c>
    </row>
    <row r="11" customFormat="false" ht="25.5" hidden="false" customHeight="true" outlineLevel="0" collapsed="false">
      <c r="B11" s="12" t="s">
        <v>559</v>
      </c>
      <c r="C11" s="58" t="s">
        <v>560</v>
      </c>
    </row>
    <row r="12" customFormat="false" ht="25.5" hidden="false" customHeight="true" outlineLevel="0" collapsed="false">
      <c r="B12" s="12" t="s">
        <v>561</v>
      </c>
      <c r="C12" s="58" t="s">
        <v>562</v>
      </c>
    </row>
    <row r="13" customFormat="false" ht="25.5" hidden="false" customHeight="true" outlineLevel="0" collapsed="false">
      <c r="B13" s="12" t="s">
        <v>563</v>
      </c>
      <c r="C13" s="58" t="s">
        <v>564</v>
      </c>
    </row>
    <row r="14" customFormat="false" ht="25.5" hidden="false" customHeight="true" outlineLevel="0" collapsed="false">
      <c r="B14" s="12" t="s">
        <v>565</v>
      </c>
      <c r="C14" s="58" t="s">
        <v>566</v>
      </c>
    </row>
    <row r="15" customFormat="false" ht="25.5" hidden="false" customHeight="true" outlineLevel="0" collapsed="false">
      <c r="B15" s="12" t="s">
        <v>567</v>
      </c>
      <c r="C15" s="58" t="s">
        <v>568</v>
      </c>
    </row>
    <row r="16" customFormat="false" ht="25.5" hidden="false" customHeight="true" outlineLevel="0" collapsed="false">
      <c r="B16" s="12" t="s">
        <v>569</v>
      </c>
      <c r="C16" s="58" t="s">
        <v>570</v>
      </c>
    </row>
    <row r="17" customFormat="false" ht="25.5" hidden="false" customHeight="true" outlineLevel="0" collapsed="false">
      <c r="B17" s="12" t="s">
        <v>571</v>
      </c>
      <c r="C17" s="58" t="s">
        <v>572</v>
      </c>
    </row>
    <row r="18" customFormat="false" ht="25.5" hidden="false" customHeight="true" outlineLevel="0" collapsed="false">
      <c r="B18" s="12" t="s">
        <v>573</v>
      </c>
      <c r="C18" s="58" t="s">
        <v>574</v>
      </c>
    </row>
    <row r="20" customFormat="false" ht="15" hidden="false" customHeight="true" outlineLevel="0" collapsed="false">
      <c r="B20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2026-06-12T17:43:40Z</dcterms:created>
  <dc:creator>openpyxl</dc:creator>
  <dc:description/>
  <dc:language>en-US</dc:language>
  <cp:lastModifiedBy/>
  <dcterms:modified xsi:type="dcterms:W3CDTF">2026-06-12T17:45:58Z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